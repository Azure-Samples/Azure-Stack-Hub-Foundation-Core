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Ex1.xml" ContentType="application/vnd.ms-office.chartex+xml"/>
  <Override PartName="/xl/charts/style23.xml" ContentType="application/vnd.ms-office.chartstyle+xml"/>
  <Override PartName="/xl/charts/colors23.xml" ContentType="application/vnd.ms-office.chartcolorstyle+xml"/>
  <Override PartName="/xl/charts/chartEx2.xml" ContentType="application/vnd.ms-office.chartex+xml"/>
  <Override PartName="/xl/charts/style24.xml" ContentType="application/vnd.ms-office.chartstyle+xml"/>
  <Override PartName="/xl/charts/colors24.xml" ContentType="application/vnd.ms-office.chartcolorstyle+xml"/>
  <Override PartName="/xl/charts/chartEx3.xml" ContentType="application/vnd.ms-office.chartex+xml"/>
  <Override PartName="/xl/charts/style25.xml" ContentType="application/vnd.ms-office.chartstyle+xml"/>
  <Override PartName="/xl/charts/colors25.xml" ContentType="application/vnd.ms-office.chartcolorstyle+xml"/>
  <Override PartName="/xl/charts/chartEx4.xml" ContentType="application/vnd.ms-office.chartex+xml"/>
  <Override PartName="/xl/charts/style26.xml" ContentType="application/vnd.ms-office.chartstyle+xml"/>
  <Override PartName="/xl/charts/colors26.xml" ContentType="application/vnd.ms-office.chartcolorstyle+xml"/>
  <Override PartName="/xl/charts/chart23.xml" ContentType="application/vnd.openxmlformats-officedocument.drawingml.chart+xml"/>
  <Override PartName="/xl/charts/style27.xml" ContentType="application/vnd.ms-office.chartstyle+xml"/>
  <Override PartName="/xl/charts/colors27.xml" ContentType="application/vnd.ms-office.chartcolorstyle+xml"/>
  <Override PartName="/xl/charts/chart24.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charts/chart25.xml" ContentType="application/vnd.openxmlformats-officedocument.drawingml.chart+xml"/>
  <Override PartName="/xl/charts/style29.xml" ContentType="application/vnd.ms-office.chartstyle+xml"/>
  <Override PartName="/xl/charts/colors29.xml" ContentType="application/vnd.ms-office.chartcolorstyle+xml"/>
  <Override PartName="/xl/charts/chart26.xml" ContentType="application/vnd.openxmlformats-officedocument.drawingml.chart+xml"/>
  <Override PartName="/xl/charts/style30.xml" ContentType="application/vnd.ms-office.chartstyle+xml"/>
  <Override PartName="/xl/charts/colors30.xml" ContentType="application/vnd.ms-office.chartcolorstyle+xml"/>
  <Override PartName="/xl/charts/chart27.xml" ContentType="application/vnd.openxmlformats-officedocument.drawingml.chart+xml"/>
  <Override PartName="/xl/charts/style31.xml" ContentType="application/vnd.ms-office.chartstyle+xml"/>
  <Override PartName="/xl/charts/colors31.xml" ContentType="application/vnd.ms-office.chartcolorstyle+xml"/>
  <Override PartName="/xl/charts/chart28.xml" ContentType="application/vnd.openxmlformats-officedocument.drawingml.chart+xml"/>
  <Override PartName="/xl/charts/style32.xml" ContentType="application/vnd.ms-office.chartstyle+xml"/>
  <Override PartName="/xl/charts/colors32.xml" ContentType="application/vnd.ms-office.chartcolorstyle+xml"/>
  <Override PartName="/xl/charts/chart29.xml" ContentType="application/vnd.openxmlformats-officedocument.drawingml.chart+xml"/>
  <Override PartName="/xl/charts/style33.xml" ContentType="application/vnd.ms-office.chartstyle+xml"/>
  <Override PartName="/xl/charts/colors33.xml" ContentType="application/vnd.ms-office.chartcolorstyle+xml"/>
  <Override PartName="/xl/charts/chart30.xml" ContentType="application/vnd.openxmlformats-officedocument.drawingml.chart+xml"/>
  <Override PartName="/xl/charts/style34.xml" ContentType="application/vnd.ms-office.chartstyle+xml"/>
  <Override PartName="/xl/charts/colors34.xml" ContentType="application/vnd.ms-office.chartcolorstyle+xml"/>
  <Override PartName="/xl/charts/chart31.xml" ContentType="application/vnd.openxmlformats-officedocument.drawingml.chart+xml"/>
  <Override PartName="/xl/charts/style35.xml" ContentType="application/vnd.ms-office.chartstyle+xml"/>
  <Override PartName="/xl/charts/colors35.xml" ContentType="application/vnd.ms-office.chartcolorstyle+xml"/>
  <Override PartName="/xl/charts/chart32.xml" ContentType="application/vnd.openxmlformats-officedocument.drawingml.chart+xml"/>
  <Override PartName="/xl/charts/style36.xml" ContentType="application/vnd.ms-office.chartstyle+xml"/>
  <Override PartName="/xl/charts/colors36.xml" ContentType="application/vnd.ms-office.chartcolorstyle+xml"/>
  <Override PartName="/xl/charts/chartEx5.xml" ContentType="application/vnd.ms-office.chartex+xml"/>
  <Override PartName="/xl/charts/style37.xml" ContentType="application/vnd.ms-office.chartstyle+xml"/>
  <Override PartName="/xl/charts/colors37.xml" ContentType="application/vnd.ms-office.chartcolorstyle+xml"/>
  <Override PartName="/xl/charts/chartEx6.xml" ContentType="application/vnd.ms-office.chartex+xml"/>
  <Override PartName="/xl/charts/style38.xml" ContentType="application/vnd.ms-office.chartstyle+xml"/>
  <Override PartName="/xl/charts/colors38.xml" ContentType="application/vnd.ms-office.chartcolorstyle+xml"/>
  <Override PartName="/xl/charts/chartEx7.xml" ContentType="application/vnd.ms-office.chartex+xml"/>
  <Override PartName="/xl/charts/style39.xml" ContentType="application/vnd.ms-office.chartstyle+xml"/>
  <Override PartName="/xl/charts/colors39.xml" ContentType="application/vnd.ms-office.chartcolorstyle+xml"/>
  <Override PartName="/xl/charts/chartEx8.xml" ContentType="application/vnd.ms-office.chartex+xml"/>
  <Override PartName="/xl/charts/style40.xml" ContentType="application/vnd.ms-office.chartstyle+xml"/>
  <Override PartName="/xl/charts/colors40.xml" ContentType="application/vnd.ms-office.chartcolorstyle+xml"/>
  <Override PartName="/xl/charts/chart33.xml" ContentType="application/vnd.openxmlformats-officedocument.drawingml.chart+xml"/>
  <Override PartName="/xl/charts/style41.xml" ContentType="application/vnd.ms-office.chartstyle+xml"/>
  <Override PartName="/xl/charts/colors41.xml" ContentType="application/vnd.ms-office.chartcolorstyle+xml"/>
  <Override PartName="/xl/charts/chart34.xml" ContentType="application/vnd.openxmlformats-officedocument.drawingml.chart+xml"/>
  <Override PartName="/xl/charts/style42.xml" ContentType="application/vnd.ms-office.chartstyle+xml"/>
  <Override PartName="/xl/charts/colors42.xml" ContentType="application/vnd.ms-office.chartcolorstyle+xml"/>
  <Override PartName="/xl/charts/chart35.xml" ContentType="application/vnd.openxmlformats-officedocument.drawingml.chart+xml"/>
  <Override PartName="/xl/charts/style43.xml" ContentType="application/vnd.ms-office.chartstyle+xml"/>
  <Override PartName="/xl/charts/colors43.xml" ContentType="application/vnd.ms-office.chartcolorstyle+xml"/>
  <Override PartName="/xl/charts/chart36.xml" ContentType="application/vnd.openxmlformats-officedocument.drawingml.chart+xml"/>
  <Override PartName="/xl/charts/style44.xml" ContentType="application/vnd.ms-office.chartstyle+xml"/>
  <Override PartName="/xl/charts/colors44.xml" ContentType="application/vnd.ms-office.chartcolorstyle+xml"/>
  <Override PartName="/xl/charts/chart37.xml" ContentType="application/vnd.openxmlformats-officedocument.drawingml.chart+xml"/>
  <Override PartName="/xl/charts/style45.xml" ContentType="application/vnd.ms-office.chartstyle+xml"/>
  <Override PartName="/xl/charts/colors45.xml" ContentType="application/vnd.ms-office.chartcolorstyle+xml"/>
  <Override PartName="/xl/charts/chart38.xml" ContentType="application/vnd.openxmlformats-officedocument.drawingml.chart+xml"/>
  <Override PartName="/xl/charts/style46.xml" ContentType="application/vnd.ms-office.chartstyle+xml"/>
  <Override PartName="/xl/charts/colors46.xml" ContentType="application/vnd.ms-office.chartcolorstyle+xml"/>
  <Override PartName="/xl/charts/chart39.xml" ContentType="application/vnd.openxmlformats-officedocument.drawingml.chart+xml"/>
  <Override PartName="/xl/charts/style47.xml" ContentType="application/vnd.ms-office.chartstyle+xml"/>
  <Override PartName="/xl/charts/colors47.xml" ContentType="application/vnd.ms-office.chartcolorstyle+xml"/>
  <Override PartName="/xl/charts/chart40.xml" ContentType="application/vnd.openxmlformats-officedocument.drawingml.chart+xml"/>
  <Override PartName="/xl/charts/style48.xml" ContentType="application/vnd.ms-office.chartstyle+xml"/>
  <Override PartName="/xl/charts/colors48.xml" ContentType="application/vnd.ms-office.chartcolorstyle+xml"/>
  <Override PartName="/xl/charts/chart41.xml" ContentType="application/vnd.openxmlformats-officedocument.drawingml.chart+xml"/>
  <Override PartName="/xl/charts/style49.xml" ContentType="application/vnd.ms-office.chartstyle+xml"/>
  <Override PartName="/xl/charts/colors49.xml" ContentType="application/vnd.ms-office.chartcolorstyle+xml"/>
  <Override PartName="/xl/charts/chart42.xml" ContentType="application/vnd.openxmlformats-officedocument.drawingml.chart+xml"/>
  <Override PartName="/xl/charts/style50.xml" ContentType="application/vnd.ms-office.chartstyle+xml"/>
  <Override PartName="/xl/charts/colors50.xml" ContentType="application/vnd.ms-office.chartcolorstyle+xml"/>
  <Override PartName="/xl/charts/chart43.xml" ContentType="application/vnd.openxmlformats-officedocument.drawingml.chart+xml"/>
  <Override PartName="/xl/charts/style51.xml" ContentType="application/vnd.ms-office.chartstyle+xml"/>
  <Override PartName="/xl/charts/colors51.xml" ContentType="application/vnd.ms-office.chartcolorstyle+xml"/>
  <Override PartName="/xl/charts/chart44.xml" ContentType="application/vnd.openxmlformats-officedocument.drawingml.chart+xml"/>
  <Override PartName="/xl/charts/style52.xml" ContentType="application/vnd.ms-office.chartstyle+xml"/>
  <Override PartName="/xl/charts/colors52.xml" ContentType="application/vnd.ms-office.chartcolorstyle+xml"/>
  <Override PartName="/xl/charts/chart45.xml" ContentType="application/vnd.openxmlformats-officedocument.drawingml.chart+xml"/>
  <Override PartName="/xl/charts/style53.xml" ContentType="application/vnd.ms-office.chartstyle+xml"/>
  <Override PartName="/xl/charts/colors53.xml" ContentType="application/vnd.ms-office.chartcolorstyle+xml"/>
  <Override PartName="/xl/charts/chart46.xml" ContentType="application/vnd.openxmlformats-officedocument.drawingml.chart+xml"/>
  <Override PartName="/xl/charts/style54.xml" ContentType="application/vnd.ms-office.chartstyle+xml"/>
  <Override PartName="/xl/charts/colors54.xml" ContentType="application/vnd.ms-office.chartcolorstyle+xml"/>
  <Override PartName="/xl/charts/chart47.xml" ContentType="application/vnd.openxmlformats-officedocument.drawingml.chart+xml"/>
  <Override PartName="/xl/charts/style55.xml" ContentType="application/vnd.ms-office.chartstyle+xml"/>
  <Override PartName="/xl/charts/colors55.xml" ContentType="application/vnd.ms-office.chartcolorstyle+xml"/>
  <Override PartName="/xl/charts/chart48.xml" ContentType="application/vnd.openxmlformats-officedocument.drawingml.chart+xml"/>
  <Override PartName="/xl/charts/style56.xml" ContentType="application/vnd.ms-office.chartstyle+xml"/>
  <Override PartName="/xl/charts/colors56.xml" ContentType="application/vnd.ms-office.chartcolorstyle+xml"/>
  <Override PartName="/xl/charts/chart49.xml" ContentType="application/vnd.openxmlformats-officedocument.drawingml.chart+xml"/>
  <Override PartName="/xl/charts/style57.xml" ContentType="application/vnd.ms-office.chartstyle+xml"/>
  <Override PartName="/xl/charts/colors57.xml" ContentType="application/vnd.ms-office.chartcolorstyle+xml"/>
  <Override PartName="/xl/charts/chart50.xml" ContentType="application/vnd.openxmlformats-officedocument.drawingml.chart+xml"/>
  <Override PartName="/xl/charts/style58.xml" ContentType="application/vnd.ms-office.chartstyle+xml"/>
  <Override PartName="/xl/charts/colors58.xml" ContentType="application/vnd.ms-office.chartcolorstyle+xml"/>
  <Override PartName="/xl/charts/chart51.xml" ContentType="application/vnd.openxmlformats-officedocument.drawingml.chart+xml"/>
  <Override PartName="/xl/charts/style59.xml" ContentType="application/vnd.ms-office.chartstyle+xml"/>
  <Override PartName="/xl/charts/colors59.xml" ContentType="application/vnd.ms-office.chartcolorstyle+xml"/>
  <Override PartName="/xl/charts/chart52.xml" ContentType="application/vnd.openxmlformats-officedocument.drawingml.chart+xml"/>
  <Override PartName="/xl/charts/style60.xml" ContentType="application/vnd.ms-office.chartstyle+xml"/>
  <Override PartName="/xl/charts/colors60.xml" ContentType="application/vnd.ms-office.chartcolorstyle+xml"/>
  <Override PartName="/xl/charts/chart53.xml" ContentType="application/vnd.openxmlformats-officedocument.drawingml.chart+xml"/>
  <Override PartName="/xl/charts/style61.xml" ContentType="application/vnd.ms-office.chartstyle+xml"/>
  <Override PartName="/xl/charts/colors61.xml" ContentType="application/vnd.ms-office.chartcolorstyle+xml"/>
  <Override PartName="/xl/charts/chart54.xml" ContentType="application/vnd.openxmlformats-officedocument.drawingml.chart+xml"/>
  <Override PartName="/xl/charts/style62.xml" ContentType="application/vnd.ms-office.chartstyle+xml"/>
  <Override PartName="/xl/charts/colors62.xml" ContentType="application/vnd.ms-office.chartcolorstyle+xml"/>
  <Override PartName="/xl/charts/chart55.xml" ContentType="application/vnd.openxmlformats-officedocument.drawingml.chart+xml"/>
  <Override PartName="/xl/charts/style63.xml" ContentType="application/vnd.ms-office.chartstyle+xml"/>
  <Override PartName="/xl/charts/colors63.xml" ContentType="application/vnd.ms-office.chartcolorstyle+xml"/>
  <Override PartName="/xl/charts/chart56.xml" ContentType="application/vnd.openxmlformats-officedocument.drawingml.chart+xml"/>
  <Override PartName="/xl/charts/style64.xml" ContentType="application/vnd.ms-office.chartstyle+xml"/>
  <Override PartName="/xl/charts/colors64.xml" ContentType="application/vnd.ms-office.chartcolorstyle+xml"/>
  <Override PartName="/xl/charts/chartEx9.xml" ContentType="application/vnd.ms-office.chartex+xml"/>
  <Override PartName="/xl/charts/style65.xml" ContentType="application/vnd.ms-office.chartstyle+xml"/>
  <Override PartName="/xl/charts/colors65.xml" ContentType="application/vnd.ms-office.chartcolorstyle+xml"/>
  <Override PartName="/xl/charts/chartEx10.xml" ContentType="application/vnd.ms-office.chartex+xml"/>
  <Override PartName="/xl/charts/style66.xml" ContentType="application/vnd.ms-office.chartstyle+xml"/>
  <Override PartName="/xl/charts/colors66.xml" ContentType="application/vnd.ms-office.chartcolorstyle+xml"/>
  <Override PartName="/xl/charts/chartEx11.xml" ContentType="application/vnd.ms-office.chartex+xml"/>
  <Override PartName="/xl/charts/style67.xml" ContentType="application/vnd.ms-office.chartstyle+xml"/>
  <Override PartName="/xl/charts/colors67.xml" ContentType="application/vnd.ms-office.chartcolorstyle+xml"/>
  <Override PartName="/xl/charts/chartEx12.xml" ContentType="application/vnd.ms-office.chartex+xml"/>
  <Override PartName="/xl/charts/style68.xml" ContentType="application/vnd.ms-office.chartstyle+xml"/>
  <Override PartName="/xl/charts/colors68.xml" ContentType="application/vnd.ms-office.chartcolorstyle+xml"/>
  <Override PartName="/xl/charts/chart57.xml" ContentType="application/vnd.openxmlformats-officedocument.drawingml.chart+xml"/>
  <Override PartName="/xl/charts/style69.xml" ContentType="application/vnd.ms-office.chartstyle+xml"/>
  <Override PartName="/xl/charts/colors69.xml" ContentType="application/vnd.ms-office.chartcolorstyle+xml"/>
  <Override PartName="/xl/charts/chart58.xml" ContentType="application/vnd.openxmlformats-officedocument.drawingml.chart+xml"/>
  <Override PartName="/xl/charts/style70.xml" ContentType="application/vnd.ms-office.chartstyle+xml"/>
  <Override PartName="/xl/charts/colors70.xml" ContentType="application/vnd.ms-office.chartcolorstyle+xml"/>
  <Override PartName="/xl/charts/chart59.xml" ContentType="application/vnd.openxmlformats-officedocument.drawingml.chart+xml"/>
  <Override PartName="/xl/charts/style71.xml" ContentType="application/vnd.ms-office.chartstyle+xml"/>
  <Override PartName="/xl/charts/colors71.xml" ContentType="application/vnd.ms-office.chartcolorstyle+xml"/>
  <Override PartName="/xl/charts/chart60.xml" ContentType="application/vnd.openxmlformats-officedocument.drawingml.chart+xml"/>
  <Override PartName="/xl/charts/style72.xml" ContentType="application/vnd.ms-office.chartstyle+xml"/>
  <Override PartName="/xl/charts/colors72.xml" ContentType="application/vnd.ms-office.chartcolorstyle+xml"/>
  <Override PartName="/xl/tables/table2.xml" ContentType="application/vnd.openxmlformats-officedocument.spreadsheetml.table+xml"/>
  <Override PartName="/xl/drawings/drawing5.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filterPrivacy="1" updateLinks="never" codeName="ThisWorkbook" hidePivotFieldList="1"/>
  <xr:revisionPtr revIDLastSave="9" documentId="8_{C434E680-7A48-4325-8365-BFEE3CA0E1CC}" xr6:coauthVersionLast="47" xr6:coauthVersionMax="47" xr10:uidLastSave="{A45E15DE-86D1-4ADB-A01C-2F6A274AF978}"/>
  <bookViews>
    <workbookView xWindow="-120" yWindow="-120" windowWidth="29040" windowHeight="15720" tabRatio="747" xr2:uid="{00000000-000D-0000-FFFF-FFFF00000000}"/>
  </bookViews>
  <sheets>
    <sheet name="Version-Disclaimer" sheetId="39" r:id="rId1"/>
    <sheet name="Instructions" sheetId="34" r:id="rId2"/>
    <sheet name="DefinedSolutionSKUs" sheetId="6" r:id="rId3"/>
    <sheet name="DefineByVMFootprint" sheetId="36" r:id="rId4"/>
    <sheet name="DefineByWorkloadFootprint" sheetId="19" r:id="rId5"/>
    <sheet name="GPUReferencePage" sheetId="46" state="hidden" r:id="rId6"/>
    <sheet name="SKUsRecommendationPage" sheetId="20" state="hidden" r:id="rId7"/>
    <sheet name="Charting" sheetId="35" state="hidden" r:id="rId8"/>
    <sheet name="Reference_AzureStackInputs" sheetId="8" state="hidden" r:id="rId9"/>
    <sheet name="Ref_WorkloadSolutionSizing_RPs" sheetId="44" state="hidden" r:id="rId10"/>
    <sheet name="TempStorageTables" sheetId="41" state="hidden" r:id="rId11"/>
    <sheet name="DefineSolutionSKUs_Tables" sheetId="42" state="hidden" r:id="rId12"/>
    <sheet name="ChangeLog" sheetId="40" r:id="rId13"/>
    <sheet name="Reference_StorageCapacity" sheetId="1" state="hidden" r:id="rId14"/>
    <sheet name="Ref_WorkloadStorageCapacity" sheetId="38" state="hidden" r:id="rId15"/>
    <sheet name="Reference_Support" sheetId="5" state="hidden" r:id="rId16"/>
  </sheets>
  <definedNames>
    <definedName name="_xlnm._FilterDatabase" localSheetId="4" hidden="1">DefineByWorkloadFootprint!$K$180:$K$276</definedName>
    <definedName name="_xlnm._FilterDatabase" localSheetId="10" hidden="1">TempStorageTables!$C$2:$C$30</definedName>
    <definedName name="_xlchart.v1.0" hidden="1">Charting!$C$137:$C$143</definedName>
    <definedName name="_xlchart.v1.1" hidden="1">Charting!$G$137:$G$143</definedName>
    <definedName name="_xlchart.v1.10" hidden="1">Charting!$G$45:$G$69</definedName>
    <definedName name="_xlchart.v1.11" hidden="1">Charting!$B$45:$C$69</definedName>
    <definedName name="_xlchart.v1.12" hidden="1">Charting!$E$44</definedName>
    <definedName name="_xlchart.v1.13" hidden="1">Charting!$E$45:$E$69</definedName>
    <definedName name="_xlchart.v1.14" hidden="1">Charting!$B$45:$C$69</definedName>
    <definedName name="_xlchart.v1.15" hidden="1">Charting!$D$44</definedName>
    <definedName name="_xlchart.v1.16" hidden="1">Charting!$D$45:$D$69</definedName>
    <definedName name="_xlchart.v1.17" hidden="1">Charting!$B$45:$C$69</definedName>
    <definedName name="_xlchart.v1.18" hidden="1">Charting!$F$44</definedName>
    <definedName name="_xlchart.v1.19" hidden="1">Charting!$F$45:$F$69</definedName>
    <definedName name="_xlchart.v1.2" hidden="1">Charting!$C$137:$C$143</definedName>
    <definedName name="_xlchart.v1.20" hidden="1">Charting!$C$137:$C$143</definedName>
    <definedName name="_xlchart.v1.21" hidden="1">Charting!$F$137:$F$143</definedName>
    <definedName name="_xlchart.v1.22" hidden="1">Charting!$C$137:$C$143</definedName>
    <definedName name="_xlchart.v1.23" hidden="1">Charting!$G$137:$G$143</definedName>
    <definedName name="_xlchart.v1.24" hidden="1">Charting!$C$137:$C$143</definedName>
    <definedName name="_xlchart.v1.25" hidden="1">Charting!$D$137:$D$143</definedName>
    <definedName name="_xlchart.v1.26" hidden="1">Charting!$C$137:$C$143</definedName>
    <definedName name="_xlchart.v1.27" hidden="1">Charting!$E$137:$E$143</definedName>
    <definedName name="_xlchart.v1.3" hidden="1">Charting!$D$137:$D$143</definedName>
    <definedName name="_xlchart.v1.4" hidden="1">Charting!$C$137:$C$143</definedName>
    <definedName name="_xlchart.v1.5" hidden="1">Charting!$E$137:$E$143</definedName>
    <definedName name="_xlchart.v1.6" hidden="1">Charting!$C$137:$C$143</definedName>
    <definedName name="_xlchart.v1.7" hidden="1">Charting!$F$137:$F$143</definedName>
    <definedName name="_xlchart.v1.8" hidden="1">Charting!$B$45:$C$69</definedName>
    <definedName name="_xlchart.v1.9" hidden="1">Charting!$G$44</definedName>
    <definedName name="_xlcn.WorksheetConnection_Table1" hidden="1">DefinedSolutionSKUs!$B$3:$H$35</definedName>
    <definedName name="ActualAvailableTB" localSheetId="9">#REF!</definedName>
    <definedName name="ActualAvailableTB" localSheetId="14">Ref_WorkloadStorageCapacity!$B$19</definedName>
    <definedName name="ActualAvailableTB">Reference_StorageCapacity!$B$19</definedName>
    <definedName name="ActualAvailableTenantTB">Ref_WorkloadStorageCapacity!$B$19</definedName>
    <definedName name="AddlCapDevRegen" localSheetId="9">#REF!</definedName>
    <definedName name="AddlCapDevRegen" localSheetId="14">Ref_WorkloadStorageCapacity!$B$13</definedName>
    <definedName name="AddlCapDevRegen">Reference_StorageCapacity!$B$13</definedName>
    <definedName name="Allocated_VtoP_CPU_Ratio" localSheetId="9">#REF!</definedName>
    <definedName name="Allocated_VtoP_CPU_Ratio">DefineByVMFootprint!$Y$5</definedName>
    <definedName name="AllocRawTB" localSheetId="9">#REF!</definedName>
    <definedName name="AllocRawTB" localSheetId="14">Ref_WorkloadStorageCapacity!$B$27</definedName>
    <definedName name="AllocRawTB">Reference_StorageCapacity!$B$27</definedName>
    <definedName name="AllocRawTiB" localSheetId="14">Ref_WorkloadStorageCapacity!$C$27</definedName>
    <definedName name="AllocRawTiB">Reference_StorageCapacity!$C$27</definedName>
    <definedName name="AMD_GPUType_Selection_Check">GPUReferencePage!$C$16</definedName>
    <definedName name="AMD_Mi25">GPUReferencePage!$B$7:$B$10</definedName>
    <definedName name="Amount_Memory_SKU1" localSheetId="9">#REF!</definedName>
    <definedName name="Amount_Memory_SKU1">SKUsRecommendationPage!$D$7</definedName>
    <definedName name="Amount_Memory_SKU2" localSheetId="9">#REF!</definedName>
    <definedName name="Amount_Memory_SKU2">SKUsRecommendationPage!$E$7</definedName>
    <definedName name="Amount_Memory_SKU3" localSheetId="9">#REF!</definedName>
    <definedName name="Amount_Memory_SKU3">SKUsRecommendationPage!$F$7</definedName>
    <definedName name="Amount_Memory_SKU4" localSheetId="9">#REF!</definedName>
    <definedName name="Amount_Memory_SKU4">SKUsRecommendationPage!$G$7</definedName>
    <definedName name="Amount_Memory_SKU5" localSheetId="9">#REF!</definedName>
    <definedName name="Amount_Memory_SKU5">SKUsRecommendationPage!$H$7</definedName>
    <definedName name="Amount_Memory_SKU6">SKUsRecommendationPage!$I$7</definedName>
    <definedName name="Amount_Tenant_Memory_SKU1" localSheetId="9">#REF!</definedName>
    <definedName name="Amount_Tenant_Memory_SKU1">SKUsRecommendationPage!$D$16</definedName>
    <definedName name="Amount_Tenant_Memory_SKU2" localSheetId="9">#REF!</definedName>
    <definedName name="Amount_Tenant_Memory_SKU2">SKUsRecommendationPage!$E$16</definedName>
    <definedName name="Amount_Tenant_Memory_SKU3" localSheetId="9">#REF!</definedName>
    <definedName name="Amount_Tenant_Memory_SKU3">SKUsRecommendationPage!$F$16</definedName>
    <definedName name="Amount_Tenant_Memory_SKU4" localSheetId="9">#REF!</definedName>
    <definedName name="Amount_Tenant_Memory_SKU4">SKUsRecommendationPage!$G$16</definedName>
    <definedName name="Amount_Tenant_Memory_SKU5" localSheetId="9">#REF!</definedName>
    <definedName name="Amount_Tenant_Memory_SKU5">SKUsRecommendationPage!$H$16</definedName>
    <definedName name="Amount_Tenant_Memory_SKU6">SKUsRecommendationPage!$I$16</definedName>
    <definedName name="Amount_Workload_Memory_SKU1" localSheetId="9">#REF!</definedName>
    <definedName name="Amount_Workload_Memory_SKU1">SKUsRecommendationPage!$D$16</definedName>
    <definedName name="Amount_Workload_Memory_SKU2" localSheetId="9">#REF!</definedName>
    <definedName name="Amount_Workload_Memory_SKU2">SKUsRecommendationPage!$E$16</definedName>
    <definedName name="Amount_Workload_Memory_SKU3" localSheetId="9">#REF!</definedName>
    <definedName name="Amount_Workload_Memory_SKU3">SKUsRecommendationPage!$F$16</definedName>
    <definedName name="Amount_Workload_Memory_SKU4" localSheetId="9">#REF!</definedName>
    <definedName name="Amount_Workload_Memory_SKU4">SKUsRecommendationPage!$G$16</definedName>
    <definedName name="Amount_Workload_Memory_SKU5" localSheetId="9">#REF!</definedName>
    <definedName name="Amount_Workload_Memory_SKU5">SKUsRecommendationPage!$H$16</definedName>
    <definedName name="Available_Disk_Storage_SKU1" localSheetId="9">#REF!</definedName>
    <definedName name="Available_Disk_Storage_SKU1">SKUsRecommendationPage!$D$9</definedName>
    <definedName name="Available_Disk_Storage_SKU2" localSheetId="9">#REF!</definedName>
    <definedName name="Available_Disk_Storage_SKU2">SKUsRecommendationPage!$E$9</definedName>
    <definedName name="Available_Disk_Storage_SKU3" localSheetId="9">#REF!</definedName>
    <definedName name="Available_Disk_Storage_SKU3">SKUsRecommendationPage!$F$9</definedName>
    <definedName name="Available_Disk_Storage_SKU4" localSheetId="9">#REF!</definedName>
    <definedName name="Available_Disk_Storage_SKU4">SKUsRecommendationPage!$G$9</definedName>
    <definedName name="Available_Disk_Storage_SKU5" localSheetId="9">#REF!</definedName>
    <definedName name="Available_Disk_Storage_SKU5">SKUsRecommendationPage!$H$9</definedName>
    <definedName name="Available_Disk_Storage_SKU6">SKUsRecommendationPage!$I$9</definedName>
    <definedName name="Available_Temp_Disk_SKU1" localSheetId="9">#REF!</definedName>
    <definedName name="Available_Temp_Disk_SKU1">SKUsRecommendationPage!$D$8</definedName>
    <definedName name="Available_Temp_Disk_SKU2" localSheetId="9">#REF!</definedName>
    <definedName name="Available_Temp_Disk_SKU2">SKUsRecommendationPage!$E$8</definedName>
    <definedName name="Available_Temp_Disk_SKU3" localSheetId="9">#REF!</definedName>
    <definedName name="Available_Temp_Disk_SKU3">SKUsRecommendationPage!$F$8</definedName>
    <definedName name="Available_Temp_Disk_SKU4" localSheetId="9">#REF!</definedName>
    <definedName name="Available_Temp_Disk_SKU4">SKUsRecommendationPage!$G$8</definedName>
    <definedName name="Available_Temp_Disk_SKU5" localSheetId="9">#REF!</definedName>
    <definedName name="Available_Temp_Disk_SKU5">SKUsRecommendationPage!$H$8</definedName>
    <definedName name="Available_Temp_Disk_SKU6">SKUsRecommendationPage!$I$8</definedName>
    <definedName name="Available_Tenant_Disk_Storage_SKU1" localSheetId="9">#REF!</definedName>
    <definedName name="Available_Tenant_Disk_Storage_SKU1">SKUsRecommendationPage!$D$18</definedName>
    <definedName name="Available_Tenant_Disk_Storage_SKU2" localSheetId="9">#REF!</definedName>
    <definedName name="Available_Tenant_Disk_Storage_SKU2">SKUsRecommendationPage!$E$18</definedName>
    <definedName name="Available_Tenant_Disk_Storage_SKU3" localSheetId="9">#REF!</definedName>
    <definedName name="Available_Tenant_Disk_Storage_SKU3">SKUsRecommendationPage!$F$18</definedName>
    <definedName name="Available_Tenant_Disk_Storage_SKU4" localSheetId="9">#REF!</definedName>
    <definedName name="Available_Tenant_Disk_Storage_SKU4">SKUsRecommendationPage!$G$18</definedName>
    <definedName name="Available_Tenant_Disk_Storage_SKU5" localSheetId="9">#REF!</definedName>
    <definedName name="Available_Tenant_Disk_Storage_SKU5">SKUsRecommendationPage!$H$18</definedName>
    <definedName name="Available_Tenant_Disk_Storage_SKU6">SKUsRecommendationPage!$I$18</definedName>
    <definedName name="Available_Tenant_Temp_Disk_SKU1" localSheetId="9">#REF!</definedName>
    <definedName name="Available_Tenant_Temp_Disk_SKU1">SKUsRecommendationPage!$D$17</definedName>
    <definedName name="Available_Tenant_Temp_Disk_SKU2" localSheetId="9">#REF!</definedName>
    <definedName name="Available_Tenant_Temp_Disk_SKU2">SKUsRecommendationPage!$E$17</definedName>
    <definedName name="Available_Tenant_Temp_Disk_SKU3" localSheetId="9">#REF!</definedName>
    <definedName name="Available_Tenant_Temp_Disk_SKU3">SKUsRecommendationPage!$F$17</definedName>
    <definedName name="Available_Tenant_Temp_Disk_SKU4" localSheetId="9">#REF!</definedName>
    <definedName name="Available_Tenant_Temp_Disk_SKU4">SKUsRecommendationPage!$G$17</definedName>
    <definedName name="Available_Tenant_Temp_Disk_SKU5" localSheetId="9">#REF!</definedName>
    <definedName name="Available_Tenant_Temp_Disk_SKU5">SKUsRecommendationPage!$H$17</definedName>
    <definedName name="Available_Tenant_Temp_Disk_SKU6">SKUsRecommendationPage!$I$17</definedName>
    <definedName name="Available_Workload_Disk_Storage_SKU1" localSheetId="9">#REF!</definedName>
    <definedName name="Available_Workload_Disk_Storage_SKU1">SKUsRecommendationPage!$D$18</definedName>
    <definedName name="Available_Workload_Disk_Storage_SKU2" localSheetId="9">#REF!</definedName>
    <definedName name="Available_Workload_Disk_Storage_SKU2">SKUsRecommendationPage!$E$18</definedName>
    <definedName name="Available_Workload_Disk_Storage_SKU3" localSheetId="9">#REF!</definedName>
    <definedName name="Available_Workload_Disk_Storage_SKU3">SKUsRecommendationPage!$F$18</definedName>
    <definedName name="Available_Workload_Disk_Storage_SKU4" localSheetId="9">#REF!</definedName>
    <definedName name="Available_Workload_Disk_Storage_SKU4">SKUsRecommendationPage!$G$18</definedName>
    <definedName name="Available_Workload_Disk_Storage_SKU5" localSheetId="9">#REF!</definedName>
    <definedName name="Available_Workload_Disk_Storage_SKU5">SKUsRecommendationPage!$H$18</definedName>
    <definedName name="Available_Workload_Temp_Disk_SKU1" localSheetId="9">#REF!</definedName>
    <definedName name="Available_Workload_Temp_Disk_SKU1">SKUsRecommendationPage!$D$17</definedName>
    <definedName name="Available_Workload_Temp_Disk_SKU2" localSheetId="9">#REF!</definedName>
    <definedName name="Available_Workload_Temp_Disk_SKU2">SKUsRecommendationPage!$E$17</definedName>
    <definedName name="Available_Workload_Temp_Disk_SKU3" localSheetId="9">#REF!</definedName>
    <definedName name="Available_Workload_Temp_Disk_SKU3">SKUsRecommendationPage!$F$17</definedName>
    <definedName name="Available_Workload_Temp_Disk_SKU4" localSheetId="9">#REF!</definedName>
    <definedName name="Available_Workload_Temp_Disk_SKU4">SKUsRecommendationPage!$G$17</definedName>
    <definedName name="Available_Workload_Temp_Disk_SKU5" localSheetId="9">#REF!</definedName>
    <definedName name="Available_Workload_Temp_Disk_SKU5">SKUsRecommendationPage!$H$17</definedName>
    <definedName name="AzureStackInfrastructureStorageTotal" localSheetId="9">#REF!</definedName>
    <definedName name="AzureStackInfrastructureStorageTotal">Reference_AzureStackInputs!$C$8</definedName>
    <definedName name="AzureStackInfrastructureTotalMemory" localSheetId="9">#REF!</definedName>
    <definedName name="AzureStackInfrastructureTotalMemory">Reference_AzureStackInputs!$C$16</definedName>
    <definedName name="AzureStackInfrastructureTotalVCPU" localSheetId="9">#REF!</definedName>
    <definedName name="AzureStackInfrastructureTotalVCPU">Reference_AzureStackInputs!$C$14</definedName>
    <definedName name="Basic_A0_Cores" localSheetId="9">#REF!</definedName>
    <definedName name="Basic_A0_Cores">DefineByVMFootprint!$D$8</definedName>
    <definedName name="Basic_A0_Disk" localSheetId="9">#REF!</definedName>
    <definedName name="Basic_A0_Disk">DefineByVMFootprint!$I$8</definedName>
    <definedName name="Basic_A0_Memory" localSheetId="9">#REF!</definedName>
    <definedName name="Basic_A0_Memory">DefineByVMFootprint!$E$8</definedName>
    <definedName name="Basic_A0_Temp" localSheetId="9">#REF!</definedName>
    <definedName name="Basic_A0_Temp">DefineByVMFootprint!$H$8</definedName>
    <definedName name="Basic_A1_Cores" localSheetId="9">#REF!</definedName>
    <definedName name="Basic_A1_Cores">DefineByVMFootprint!$D$9</definedName>
    <definedName name="Basic_A1_Disk" localSheetId="9">#REF!</definedName>
    <definedName name="Basic_A1_Disk">DefineByVMFootprint!$I$9</definedName>
    <definedName name="Basic_A1_Memory" localSheetId="9">#REF!</definedName>
    <definedName name="Basic_A1_Memory">DefineByVMFootprint!$E$9</definedName>
    <definedName name="Basic_A1_Temp" localSheetId="9">#REF!</definedName>
    <definedName name="Basic_A1_Temp">DefineByVMFootprint!$H$9</definedName>
    <definedName name="Basic_A2_Cores" localSheetId="9">#REF!</definedName>
    <definedName name="Basic_A2_Cores">DefineByVMFootprint!$D$10</definedName>
    <definedName name="Basic_A2_Disk" localSheetId="9">#REF!</definedName>
    <definedName name="Basic_A2_Disk">DefineByVMFootprint!$I$10</definedName>
    <definedName name="Basic_A2_Memory" localSheetId="9">#REF!</definedName>
    <definedName name="Basic_A2_Memory">DefineByVMFootprint!$E$10</definedName>
    <definedName name="Basic_A2_Temp" localSheetId="9">#REF!</definedName>
    <definedName name="Basic_A2_Temp">DefineByVMFootprint!$H$10</definedName>
    <definedName name="Basic_A3_Cores" localSheetId="9">#REF!</definedName>
    <definedName name="Basic_A3_Cores">DefineByVMFootprint!$D$11</definedName>
    <definedName name="Basic_A3_Disk" localSheetId="9">#REF!</definedName>
    <definedName name="Basic_A3_Disk">DefineByVMFootprint!$I$11</definedName>
    <definedName name="Basic_A3_Memory" localSheetId="9">#REF!</definedName>
    <definedName name="Basic_A3_Memory">DefineByVMFootprint!$E$11</definedName>
    <definedName name="Basic_A3_Temp" localSheetId="9">#REF!</definedName>
    <definedName name="Basic_A3_Temp">DefineByVMFootprint!$H$11</definedName>
    <definedName name="Basic_A4_Cores" localSheetId="9">#REF!</definedName>
    <definedName name="Basic_A4_Cores">DefineByVMFootprint!$D$12</definedName>
    <definedName name="Basic_A4_Disk" localSheetId="9">#REF!</definedName>
    <definedName name="Basic_A4_Disk">DefineByVMFootprint!$I$12</definedName>
    <definedName name="Basic_A4_Memory" localSheetId="9">#REF!</definedName>
    <definedName name="Basic_A4_Memory">DefineByVMFootprint!$E$12</definedName>
    <definedName name="Basic_A4_Temp" localSheetId="9">#REF!</definedName>
    <definedName name="Basic_A4_Temp">DefineByVMFootprint!$H$12</definedName>
    <definedName name="CacheDevSize" localSheetId="9">#REF!</definedName>
    <definedName name="CacheDevSize" localSheetId="14">Ref_WorkloadStorageCapacity!$B$8</definedName>
    <definedName name="CacheDevSize">Reference_StorageCapacity!$B$8</definedName>
    <definedName name="CapDevSize" localSheetId="9">#REF!</definedName>
    <definedName name="CapDevSize" localSheetId="14">Ref_WorkloadStorageCapacity!$B$7</definedName>
    <definedName name="CapDevSize">Reference_StorageCapacity!$B$7</definedName>
    <definedName name="ComputeStorageScaleUnitSize" localSheetId="3">Table2[ComputeStorageScaleUnitSize]</definedName>
    <definedName name="ComputeStorageScaleUnitSize" localSheetId="9">#REF!</definedName>
    <definedName name="ComputeStorageScaleUnitSize" localSheetId="14">Table2[ComputeStorageScaleUnitSize]</definedName>
    <definedName name="ComputeStorageScaleUnitSize">Table2[ComputeStorageScaleUnitSize]</definedName>
    <definedName name="Consumed_Tenant_CPU_Cores" localSheetId="9">#REF!</definedName>
    <definedName name="Consumed_Tenant_CPU_Cores">DefineByWorkloadFootprint!$G$137</definedName>
    <definedName name="Consumed_Tenant_Disk" localSheetId="9">#REF!</definedName>
    <definedName name="Consumed_Tenant_Disk">DefineByWorkloadFootprint!$G$140</definedName>
    <definedName name="Consumed_Tenant_Memory" localSheetId="9">#REF!</definedName>
    <definedName name="Consumed_Tenant_Memory">DefineByWorkloadFootprint!$G$138</definedName>
    <definedName name="Consumed_Tenant_TempDisk" localSheetId="9">#REF!</definedName>
    <definedName name="Consumed_Tenant_TempDisk">DefineByWorkloadFootprint!$G$139</definedName>
    <definedName name="Consumed_Tenant1_VM_Cores" localSheetId="9">#REF!</definedName>
    <definedName name="Consumed_Tenant1_VM_Cores">DefineByWorkloadFootprint!$D$275</definedName>
    <definedName name="Consumed_Tenant1_VM_Disk" localSheetId="9">#REF!</definedName>
    <definedName name="Consumed_Tenant1_VM_Disk">DefineByWorkloadFootprint!$D$377</definedName>
    <definedName name="Consumed_Tenant1_VM_Memory" localSheetId="9">#REF!</definedName>
    <definedName name="Consumed_Tenant1_VM_Memory">DefineByWorkloadFootprint!$L$275</definedName>
    <definedName name="Consumed_Tenant1_VM_Temp" localSheetId="9">#REF!</definedName>
    <definedName name="Consumed_Tenant1_VM_Temp">DefineByWorkloadFootprint!$L$377</definedName>
    <definedName name="Consumed_Tenant2_VM_Cores" localSheetId="9">#REF!</definedName>
    <definedName name="Consumed_Tenant2_VM_Cores">DefineByWorkloadFootprint!$E$275</definedName>
    <definedName name="Consumed_Tenant2_VM_Disk" localSheetId="9">#REF!</definedName>
    <definedName name="Consumed_Tenant2_VM_Disk">DefineByWorkloadFootprint!$E$377</definedName>
    <definedName name="Consumed_Tenant2_VM_Memory" localSheetId="9">#REF!</definedName>
    <definedName name="Consumed_Tenant2_VM_Memory">DefineByWorkloadFootprint!$M$275</definedName>
    <definedName name="Consumed_Tenant2_VM_Temp" localSheetId="9">#REF!</definedName>
    <definedName name="Consumed_Tenant2_VM_Temp">DefineByWorkloadFootprint!$M$377</definedName>
    <definedName name="Consumed_Tenant3_VM_Cores" localSheetId="9">#REF!</definedName>
    <definedName name="Consumed_Tenant3_VM_Cores">DefineByWorkloadFootprint!$F$275</definedName>
    <definedName name="Consumed_Tenant3_VM_Disk" localSheetId="9">#REF!</definedName>
    <definedName name="Consumed_Tenant3_VM_Disk">DefineByWorkloadFootprint!$F$377</definedName>
    <definedName name="Consumed_Tenant3_VM_Memory" localSheetId="9">#REF!</definedName>
    <definedName name="Consumed_Tenant3_VM_Memory">DefineByWorkloadFootprint!$N$275</definedName>
    <definedName name="Consumed_Tenant3_VM_Temp" localSheetId="9">#REF!</definedName>
    <definedName name="Consumed_Tenant3_VM_Temp">DefineByWorkloadFootprint!$N$377</definedName>
    <definedName name="Consumed_Tenant4_VM_Cores" localSheetId="9">#REF!</definedName>
    <definedName name="Consumed_Tenant4_VM_Cores">DefineByWorkloadFootprint!$G$275</definedName>
    <definedName name="Consumed_Tenant4_VM_Disk" localSheetId="9">#REF!</definedName>
    <definedName name="Consumed_Tenant4_VM_Disk">DefineByWorkloadFootprint!$G$377</definedName>
    <definedName name="Consumed_Tenant4_VM_Memory" localSheetId="9">#REF!</definedName>
    <definedName name="Consumed_Tenant4_VM_Memory">DefineByWorkloadFootprint!$O$275</definedName>
    <definedName name="Consumed_Tenant4_VM_Temp" localSheetId="9">#REF!</definedName>
    <definedName name="Consumed_Tenant4_VM_Temp">DefineByWorkloadFootprint!$O$377</definedName>
    <definedName name="Consumed_Tenant5_VM_Cores" localSheetId="9">#REF!</definedName>
    <definedName name="Consumed_Tenant5_VM_Cores">DefineByWorkloadFootprint!$H$275</definedName>
    <definedName name="Consumed_Tenant5_VM_Disk" localSheetId="9">#REF!</definedName>
    <definedName name="Consumed_Tenant5_VM_Disk">DefineByWorkloadFootprint!$H$377</definedName>
    <definedName name="Consumed_Tenant5_VM_Memory" localSheetId="9">#REF!</definedName>
    <definedName name="Consumed_Tenant5_VM_Memory">DefineByWorkloadFootprint!$P$275</definedName>
    <definedName name="Consumed_Tenant5_VM_Temp" localSheetId="9">#REF!</definedName>
    <definedName name="Consumed_Tenant5_VM_Temp">DefineByWorkloadFootprint!$P$377</definedName>
    <definedName name="Consumed_Tenant6_VM_Cores" localSheetId="9">#REF!</definedName>
    <definedName name="Consumed_Tenant6_VM_Cores">DefineByWorkloadFootprint!$I$275</definedName>
    <definedName name="Consumed_Tenant6_VM_Disk" localSheetId="9">#REF!</definedName>
    <definedName name="Consumed_Tenant6_VM_Disk">DefineByWorkloadFootprint!$I$377</definedName>
    <definedName name="Consumed_Tenant6_VM_Memory" localSheetId="9">#REF!</definedName>
    <definedName name="Consumed_Tenant6_VM_Memory">DefineByWorkloadFootprint!$Q$275</definedName>
    <definedName name="Consumed_Tenant6_VM_Temp" localSheetId="9">#REF!</definedName>
    <definedName name="Consumed_Tenant6_VM_Temp">DefineByWorkloadFootprint!$Q$377</definedName>
    <definedName name="Consumed_VM_CPU_Cores" localSheetId="9">#REF!</definedName>
    <definedName name="Consumed_VM_CPU_Cores">DefineByVMFootprint!$P$73</definedName>
    <definedName name="Consumed_VM_External_Storage" localSheetId="9">#REF!</definedName>
    <definedName name="Consumed_VM_External_Storage">DefineByVMFootprint!$P$76</definedName>
    <definedName name="Consumed_VM_GPU_Number">DefineByVMFootprint!$P$77</definedName>
    <definedName name="Consumed_VM_Memory" localSheetId="9">#REF!</definedName>
    <definedName name="Consumed_VM_Memory">DefineByVMFootprint!$P$74</definedName>
    <definedName name="Consumed_VM_Temp_Storage" localSheetId="9">#REF!</definedName>
    <definedName name="Consumed_VM_Temp_Storage">DefineByVMFootprint!$P$75</definedName>
    <definedName name="CPU_Core_Count" localSheetId="9">#REF!</definedName>
    <definedName name="CPU_Core_Count">#REF!</definedName>
    <definedName name="CPU_Core_Count_Raw" localSheetId="9">#REF!</definedName>
    <definedName name="CPU_Core_Count_Raw">#REF!</definedName>
    <definedName name="DefineDesiredVMResourcesTop">DefineByVMFootprint!$A$4</definedName>
    <definedName name="DefinedSolutionSKUsTop">DefinedSolutionSKUs!$A$2</definedName>
    <definedName name="DesiredMirrorPct" localSheetId="9">#REF!</definedName>
    <definedName name="DesiredMirrorPct" localSheetId="14">Ref_WorkloadStorageCapacity!$B$10</definedName>
    <definedName name="DesiredMirrorPct">Reference_StorageCapacity!$B$10</definedName>
    <definedName name="DesiredTempStoragePerServer" localSheetId="9">#REF!</definedName>
    <definedName name="DesiredTempStoragePerServer">#REF!</definedName>
    <definedName name="DesiredTempStoragePerSolution" localSheetId="9">#REF!</definedName>
    <definedName name="DesiredTempStoragePerSolution">#REF!</definedName>
    <definedName name="GPUTypeSelected">GPUReferencePage!$C$15</definedName>
    <definedName name="Host_OS_Reserve__H">#REF!</definedName>
    <definedName name="HostMem_256">#REF!</definedName>
    <definedName name="HostMem_384">#REF!</definedName>
    <definedName name="HostMem_512">#REF!</definedName>
    <definedName name="HostMem_768">#REF!</definedName>
    <definedName name="HostMemorySpacesDirectCachePercent">Reference_AzureStackInputs!$C$24</definedName>
    <definedName name="HyperV_Reserve">Reference_AzureStackInputs!$C$32</definedName>
    <definedName name="Infrastructure_pCore_Count" localSheetId="9">#REF!</definedName>
    <definedName name="Infrastructure_pCore_Count">#REF!</definedName>
    <definedName name="Infrastructure_Storage_Total_TiB" localSheetId="9">#REF!</definedName>
    <definedName name="Infrastructure_Storage_Total_TiB">#REF!</definedName>
    <definedName name="Infrastructure_VM_Memory_Total" localSheetId="9">#REF!</definedName>
    <definedName name="Infrastructure_VM_Memory_Total">#REF!</definedName>
    <definedName name="InNodeRegen" localSheetId="9">#REF!</definedName>
    <definedName name="InNodeRegen" localSheetId="14">Ref_WorkloadStorageCapacity!$B$38</definedName>
    <definedName name="InNodeRegen">Reference_StorageCapacity!$B$38</definedName>
    <definedName name="Largest_HA_Tenant_Memory">DefineByWorkloadFootprint!$R$278</definedName>
    <definedName name="Largest_HA_VM_Memory">DefineByVMFootprint!$E$283</definedName>
    <definedName name="Largest_Infra_VM_GPUonly">Reference_AzureStackInputs!$C$30</definedName>
    <definedName name="MaxAvailTB" localSheetId="9">#REF!</definedName>
    <definedName name="MaxAvailTB" localSheetId="14">Ref_WorkloadStorageCapacity!$B$23</definedName>
    <definedName name="MaxAvailTB">Reference_StorageCapacity!$B$23</definedName>
    <definedName name="MDReserve" localSheetId="9">#REF!</definedName>
    <definedName name="MDReserve" localSheetId="14">Ref_WorkloadStorageCapacity!$B$9</definedName>
    <definedName name="MDReserve">Reference_StorageCapacity!$B$9</definedName>
    <definedName name="Memory_Capacity_Raw" localSheetId="9">#REF!</definedName>
    <definedName name="Memory_Capacity_Raw">#REF!</definedName>
    <definedName name="Memory_for_Infrastructure">#REF!</definedName>
    <definedName name="Memory_Per_Host">#REF!</definedName>
    <definedName name="Memory_Per_Server" localSheetId="9">#REF!</definedName>
    <definedName name="Memory_Per_Server">#REF!</definedName>
    <definedName name="MinAvailTB" localSheetId="9">#REF!</definedName>
    <definedName name="MinAvailTB" localSheetId="14">Ref_WorkloadStorageCapacity!$B$22</definedName>
    <definedName name="MinAvailTB">Reference_StorageCapacity!$B$22</definedName>
    <definedName name="MirrorCopies" localSheetId="9">#REF!</definedName>
    <definedName name="MirrorCopies" localSheetId="14">Ref_WorkloadStorageCapacity!$B$35</definedName>
    <definedName name="MirrorCopies">Reference_StorageCapacity!$B$35</definedName>
    <definedName name="NC24ads_A100_v4_Series_Total_GPU">DefineByVMFootprint!$F$270</definedName>
    <definedName name="NC24ads_A100_v4_Series_Total_GPUMemory">DefineByVMFootprint!$G$270</definedName>
    <definedName name="NCasT4_V3_Series_Total_GPUMemory">DefineByVMFootprint!$G$266</definedName>
    <definedName name="NCasT4_V3_Total_GPUMemory">DefineByVMFootprint!$G$266</definedName>
    <definedName name="NCastT4_V3_Series_Total_GPU">DefineByVMFootprint!$F$266</definedName>
    <definedName name="NCv3_Series_Total_GPU">DefineByVMFootprint!$F$260</definedName>
    <definedName name="NCv3_Series_Total_GPUMemory">DefineByVMFootprint!$G$260</definedName>
    <definedName name="NodeCacheDev" localSheetId="9">#REF!</definedName>
    <definedName name="NodeCacheDev" localSheetId="14">Ref_WorkloadStorageCapacity!$B$5</definedName>
    <definedName name="NodeCacheDev">Reference_StorageCapacity!$B$5</definedName>
    <definedName name="NodeCapDev" localSheetId="9">#REF!</definedName>
    <definedName name="NodeCapDev" localSheetId="14">Ref_WorkloadStorageCapacity!$B$4</definedName>
    <definedName name="NodeCapDev">Reference_StorageCapacity!$B$4</definedName>
    <definedName name="Nodes" localSheetId="9">#REF!</definedName>
    <definedName name="Nodes" localSheetId="14">Ref_WorkloadStorageCapacity!$B$3</definedName>
    <definedName name="Nodes">Reference_StorageCapacity!$B$3</definedName>
    <definedName name="NodesMin" localSheetId="9">#REF!</definedName>
    <definedName name="NodesMin" localSheetId="14">Ref_WorkloadStorageCapacity!$B$37</definedName>
    <definedName name="NodesMin">Reference_StorageCapacity!$B$37</definedName>
    <definedName name="NodesRegen" localSheetId="9">#REF!</definedName>
    <definedName name="NodesRegen" localSheetId="14">Ref_WorkloadStorageCapacity!$B$12</definedName>
    <definedName name="NodesRegen">Reference_StorageCapacity!$B$12</definedName>
    <definedName name="Number_Available_Cores" localSheetId="3">DefineByVMFootprint!#REF!</definedName>
    <definedName name="NUmber_CPU_Cores_SKU1" localSheetId="9">#REF!</definedName>
    <definedName name="NUmber_CPU_Cores_SKU1">SKUsRecommendationPage!$D$6</definedName>
    <definedName name="NUmber_CPU_Cores_SKU2" localSheetId="9">#REF!</definedName>
    <definedName name="NUmber_CPU_Cores_SKU2">SKUsRecommendationPage!$E$6</definedName>
    <definedName name="NUmber_CPU_Cores_SKU3" localSheetId="9">#REF!</definedName>
    <definedName name="NUmber_CPU_Cores_SKU3">SKUsRecommendationPage!$F$6</definedName>
    <definedName name="NUmber_CPU_Cores_SKU4" localSheetId="9">#REF!</definedName>
    <definedName name="NUmber_CPU_Cores_SKU4">SKUsRecommendationPage!$G$6</definedName>
    <definedName name="NUmber_CPU_Cores_SKU5" localSheetId="9">#REF!</definedName>
    <definedName name="NUmber_CPU_Cores_SKU5">SKUsRecommendationPage!$H$6</definedName>
    <definedName name="NUmber_CPU_Cores_SKU6">SKUsRecommendationPage!$I$6</definedName>
    <definedName name="Number_Tenant_CPU_Cores_SKU1" localSheetId="9">#REF!</definedName>
    <definedName name="Number_Tenant_CPU_Cores_SKU1">SKUsRecommendationPage!$D$15</definedName>
    <definedName name="Number_Tenant_CPU_Cores_SKU2" localSheetId="9">#REF!</definedName>
    <definedName name="Number_Tenant_CPU_Cores_SKU2">SKUsRecommendationPage!$E$15</definedName>
    <definedName name="Number_Tenant_CPU_Cores_SKU3" localSheetId="9">#REF!</definedName>
    <definedName name="Number_Tenant_CPU_Cores_SKU3">SKUsRecommendationPage!$F$15</definedName>
    <definedName name="Number_Tenant_CPU_Cores_SKU4" localSheetId="9">#REF!</definedName>
    <definedName name="Number_Tenant_CPU_Cores_SKU4">SKUsRecommendationPage!$G$15</definedName>
    <definedName name="Number_Tenant_CPU_Cores_SKU5" localSheetId="9">#REF!</definedName>
    <definedName name="Number_Tenant_CPU_Cores_SKU5">SKUsRecommendationPage!$H$15</definedName>
    <definedName name="Number_Tenant_CPU_Cores_SKU6">SKUsRecommendationPage!$I$15</definedName>
    <definedName name="Number_Workload_CPU_Cores_SKU1" localSheetId="9">#REF!</definedName>
    <definedName name="Number_Workload_CPU_Cores_SKU1">SKUsRecommendationPage!$D$15</definedName>
    <definedName name="Number_Workload_CPU_Cores_SKU2" localSheetId="9">#REF!</definedName>
    <definedName name="Number_Workload_CPU_Cores_SKU2">SKUsRecommendationPage!$E$15</definedName>
    <definedName name="Number_Workload_CPU_Cores_SKU3" localSheetId="9">#REF!</definedName>
    <definedName name="Number_Workload_CPU_Cores_SKU3">SKUsRecommendationPage!$F$15</definedName>
    <definedName name="Number_Workload_CPU_Cores_SKU4" localSheetId="9">#REF!</definedName>
    <definedName name="Number_Workload_CPU_Cores_SKU4">SKUsRecommendationPage!$G$15</definedName>
    <definedName name="Number_Workload_CPU_Cores_SKU5" localSheetId="9">#REF!</definedName>
    <definedName name="Number_Workload_CPU_Cores_SKU5">SKUsRecommendationPage!$H$15</definedName>
    <definedName name="NVIDIA_A100_SelectionType">GPUReferencePage!$E$16</definedName>
    <definedName name="NVIDIA_T4">GPUReferencePage!$C$7:$C$10</definedName>
    <definedName name="NVIDIA_T4_SelectionType">GPUReferencePage!$E$17</definedName>
    <definedName name="NVIDIA_v100">GPUReferencePage!$D$7:$D$10</definedName>
    <definedName name="NVIDIA_v100_SelectionType">GPUReferencePage!$C$17</definedName>
    <definedName name="NVV4_Total_GPU">DefineByVMFootprint!$F$276</definedName>
    <definedName name="NVV4_Total_GPUMemory">DefineByVMFootprint!$G$276</definedName>
    <definedName name="Overall_Storage_Capacity_Total_TiB" localSheetId="9">#REF!</definedName>
    <definedName name="Overall_Storage_Capacity_Total_TiB">#REF!</definedName>
    <definedName name="ParityDataSymbols" localSheetId="9">#REF!</definedName>
    <definedName name="ParityDataSymbols" localSheetId="14">Ref_WorkloadStorageCapacity!$B$30</definedName>
    <definedName name="ParityDataSymbols">Reference_StorageCapacity!$B$30</definedName>
    <definedName name="ParityEfficiency" localSheetId="9">#REF!</definedName>
    <definedName name="ParityEfficiency" localSheetId="14">Ref_WorkloadStorageCapacity!$B$34</definedName>
    <definedName name="ParityEfficiency">Reference_StorageCapacity!$B$34</definedName>
    <definedName name="ParityGlobal" localSheetId="9">#REF!</definedName>
    <definedName name="ParityGlobal" localSheetId="14">Ref_WorkloadStorageCapacity!$B$32</definedName>
    <definedName name="ParityGlobal">Reference_StorageCapacity!$B$32</definedName>
    <definedName name="ParityGroups" localSheetId="9">#REF!</definedName>
    <definedName name="ParityGroups" localSheetId="14">Ref_WorkloadStorageCapacity!$B$31</definedName>
    <definedName name="ParityGroups">Reference_StorageCapacity!$B$31</definedName>
    <definedName name="ParityMaxLocalDataSymbols" localSheetId="9">#REF!</definedName>
    <definedName name="ParityMaxLocalDataSymbols" localSheetId="14">Ref_WorkloadStorageCapacity!$B$33</definedName>
    <definedName name="ParityMaxLocalDataSymbols">Reference_StorageCapacity!$B$33</definedName>
    <definedName name="ParityOptimization" localSheetId="9">#REF!</definedName>
    <definedName name="ParityOptimization" localSheetId="14">Ref_WorkloadStorageCapacity!$B$15</definedName>
    <definedName name="ParityOptimization">Reference_StorageCapacity!$B$15</definedName>
    <definedName name="Per_Host_CPU_Core_Overhead" localSheetId="9">#REF!</definedName>
    <definedName name="Per_Host_CPU_Core_Overhead">#REF!</definedName>
    <definedName name="Per_Host_Memory_Overhead" localSheetId="9">#REF!</definedName>
    <definedName name="Per_Host_Memory_Overhead">#REF!</definedName>
    <definedName name="PercentagePhysicalMemoryUsedbyHost" localSheetId="9">#REF!</definedName>
    <definedName name="PercentagePhysicalMemoryUsedbyHost">Reference_AzureStackInputs!$C$11</definedName>
    <definedName name="PreferLRCFT" localSheetId="14">Ref_WorkloadStorageCapacity!$B$16</definedName>
    <definedName name="PreferLRCFT">Reference_StorageCapacity!$B$16</definedName>
    <definedName name="Qty_sample">DefineByWorkloadFootprint!$I$9</definedName>
    <definedName name="Quantity_Basic_A0" localSheetId="9">#REF!</definedName>
    <definedName name="Quantity_Basic_A0">DefineByVMFootprint!$B$8</definedName>
    <definedName name="Quantity_Basic_A1" localSheetId="9">#REF!</definedName>
    <definedName name="Quantity_Basic_A1">DefineByVMFootprint!$B$9</definedName>
    <definedName name="Quantity_Basic_A2" localSheetId="9">#REF!</definedName>
    <definedName name="Quantity_Basic_A2">DefineByVMFootprint!$B$10</definedName>
    <definedName name="Quantity_Basic_A3" localSheetId="9">#REF!</definedName>
    <definedName name="Quantity_Basic_A3">DefineByVMFootprint!$B$11</definedName>
    <definedName name="Quantity_Basic_A4" localSheetId="9">#REF!</definedName>
    <definedName name="Quantity_Basic_A4">DefineByVMFootprint!$B$12</definedName>
    <definedName name="Quantity_Inv_VM_Cores_Tenant1" localSheetId="9">#REF!</definedName>
    <definedName name="Quantity_Inv_VM_Cores_Tenant1">DefineByWorkloadFootprint!$D$273</definedName>
    <definedName name="Quantity_Inv_VM_Cores_Tenant2" localSheetId="9">#REF!</definedName>
    <definedName name="Quantity_Inv_VM_Cores_Tenant2">DefineByWorkloadFootprint!$E$273</definedName>
    <definedName name="Quantity_Inv_VM_Cores_Tenant3" localSheetId="9">#REF!</definedName>
    <definedName name="Quantity_Inv_VM_Cores_Tenant3">DefineByWorkloadFootprint!$F$273</definedName>
    <definedName name="Quantity_Inv_VM_Cores_Tenant4" localSheetId="9">#REF!</definedName>
    <definedName name="Quantity_Inv_VM_Cores_Tenant4">DefineByWorkloadFootprint!$G$273</definedName>
    <definedName name="Quantity_Inv_VM_Cores_Tenant5" localSheetId="9">#REF!</definedName>
    <definedName name="Quantity_Inv_VM_Cores_Tenant5">DefineByWorkloadFootprint!$H$273</definedName>
    <definedName name="Quantity_Inv_VM_Cores_Tenant6" localSheetId="9">#REF!</definedName>
    <definedName name="Quantity_Inv_VM_Cores_Tenant6">DefineByWorkloadFootprint!$I$273</definedName>
    <definedName name="Quantity_Inv_VM_Disk_Tenant1" localSheetId="9">#REF!</definedName>
    <definedName name="Quantity_Inv_VM_Disk_Tenant1">DefineByWorkloadFootprint!$D$375</definedName>
    <definedName name="Quantity_Inv_VM_Disk_Tenant2" localSheetId="9">#REF!</definedName>
    <definedName name="Quantity_Inv_VM_Disk_Tenant2">DefineByWorkloadFootprint!$E$375</definedName>
    <definedName name="Quantity_Inv_VM_Disk_Tenant3" localSheetId="9">#REF!</definedName>
    <definedName name="Quantity_Inv_VM_Disk_Tenant3">DefineByWorkloadFootprint!$F$375</definedName>
    <definedName name="Quantity_Inv_VM_Disk_Tenant4" localSheetId="9">#REF!</definedName>
    <definedName name="Quantity_Inv_VM_Disk_Tenant4">DefineByWorkloadFootprint!$G$375</definedName>
    <definedName name="Quantity_Inv_VM_Disk_Tenant5" localSheetId="9">#REF!</definedName>
    <definedName name="Quantity_Inv_VM_Disk_Tenant5">DefineByWorkloadFootprint!$H$375</definedName>
    <definedName name="Quantity_Inv_VM_Disk_Tenant6" localSheetId="9">#REF!</definedName>
    <definedName name="Quantity_Inv_VM_Disk_Tenant6">DefineByWorkloadFootprint!$I$375</definedName>
    <definedName name="Quantity_Inv_VM_Memory_Tenant1" localSheetId="9">#REF!</definedName>
    <definedName name="Quantity_Inv_VM_Memory_Tenant1">DefineByWorkloadFootprint!$L$273</definedName>
    <definedName name="Quantity_Inv_VM_Memory_Tenant2" localSheetId="9">#REF!</definedName>
    <definedName name="Quantity_Inv_VM_Memory_Tenant2">DefineByWorkloadFootprint!$M$273</definedName>
    <definedName name="Quantity_Inv_VM_Memory_Tenant3" localSheetId="9">#REF!</definedName>
    <definedName name="Quantity_Inv_VM_Memory_Tenant3">DefineByWorkloadFootprint!$N$273</definedName>
    <definedName name="Quantity_Inv_VM_Memory_Tenant4" localSheetId="9">#REF!</definedName>
    <definedName name="Quantity_Inv_VM_Memory_Tenant4">DefineByWorkloadFootprint!$O$273</definedName>
    <definedName name="Quantity_Inv_VM_Memory_Tenant5" localSheetId="9">#REF!</definedName>
    <definedName name="Quantity_Inv_VM_Memory_Tenant5">DefineByWorkloadFootprint!$P$273</definedName>
    <definedName name="Quantity_Inv_VM_Memory_Tenant6" localSheetId="9">#REF!</definedName>
    <definedName name="Quantity_Inv_VM_Memory_Tenant6">DefineByWorkloadFootprint!$Q$273</definedName>
    <definedName name="Quantity_Inv_VM_Temp_Tenant1" localSheetId="9">#REF!</definedName>
    <definedName name="Quantity_Inv_VM_Temp_Tenant1">DefineByWorkloadFootprint!$L$375</definedName>
    <definedName name="Quantity_Inv_VM_Temp_Tenant2" localSheetId="9">#REF!</definedName>
    <definedName name="Quantity_Inv_VM_Temp_Tenant2">DefineByWorkloadFootprint!$M$375</definedName>
    <definedName name="Quantity_Inv_VM_Temp_Tenant3" localSheetId="9">#REF!</definedName>
    <definedName name="Quantity_Inv_VM_Temp_Tenant3">DefineByWorkloadFootprint!$N$375</definedName>
    <definedName name="Quantity_Inv_VM_Temp_Tenant4" localSheetId="9">#REF!</definedName>
    <definedName name="Quantity_Inv_VM_Temp_Tenant4">DefineByWorkloadFootprint!$O$375</definedName>
    <definedName name="Quantity_Inv_VM_Temp_Tenant5" localSheetId="9">#REF!</definedName>
    <definedName name="Quantity_Inv_VM_Temp_Tenant5">DefineByWorkloadFootprint!$P$375</definedName>
    <definedName name="Quantity_Inv_VM_Temp_Tenant6" localSheetId="9">#REF!</definedName>
    <definedName name="Quantity_Inv_VM_Temp_Tenant6">DefineByWorkloadFootprint!$Q$375</definedName>
    <definedName name="Quantity_Standard_A0" localSheetId="9">#REF!</definedName>
    <definedName name="Quantity_Standard_A0">DefineByVMFootprint!$B$14</definedName>
    <definedName name="Quantity_Standard_A1" localSheetId="9">#REF!</definedName>
    <definedName name="Quantity_Standard_A1">DefineByVMFootprint!$B$15</definedName>
    <definedName name="Quantity_Standard_A1_v2" localSheetId="9">#REF!</definedName>
    <definedName name="Quantity_Standard_A1_v2">DefineByVMFootprint!$B$23</definedName>
    <definedName name="Quantity_Standard_A2" localSheetId="9">#REF!</definedName>
    <definedName name="Quantity_Standard_A2">DefineByVMFootprint!$B$16</definedName>
    <definedName name="Quantity_Standard_A2_v2" localSheetId="9">#REF!</definedName>
    <definedName name="Quantity_Standard_A2_v2">DefineByVMFootprint!$B$24</definedName>
    <definedName name="Quantity_Standard_A2m_v2" localSheetId="9">#REF!</definedName>
    <definedName name="Quantity_Standard_A2m_v2">DefineByVMFootprint!$B$27</definedName>
    <definedName name="Quantity_Standard_A3" localSheetId="9">#REF!</definedName>
    <definedName name="Quantity_Standard_A3">DefineByVMFootprint!$B$17</definedName>
    <definedName name="Quantity_Standard_A4" localSheetId="9">#REF!</definedName>
    <definedName name="Quantity_Standard_A4">DefineByVMFootprint!$B$18</definedName>
    <definedName name="Quantity_Standard_A4_v2" localSheetId="9">#REF!</definedName>
    <definedName name="Quantity_Standard_A4_v2">DefineByVMFootprint!$B$25</definedName>
    <definedName name="Quantity_Standard_A4m_v2" localSheetId="9">#REF!</definedName>
    <definedName name="Quantity_Standard_A4m_v2">DefineByVMFootprint!$B$28</definedName>
    <definedName name="Quantity_Standard_A5" localSheetId="9">#REF!</definedName>
    <definedName name="Quantity_Standard_A5">DefineByVMFootprint!$B$19</definedName>
    <definedName name="Quantity_Standard_A6" localSheetId="9">#REF!</definedName>
    <definedName name="Quantity_Standard_A6">DefineByVMFootprint!$B$20</definedName>
    <definedName name="Quantity_Standard_A7" localSheetId="9">#REF!</definedName>
    <definedName name="Quantity_Standard_A7">DefineByVMFootprint!$B$21</definedName>
    <definedName name="Quantity_Standard_A8_v2" localSheetId="9">#REF!</definedName>
    <definedName name="Quantity_Standard_A8_v2">DefineByVMFootprint!$B$26</definedName>
    <definedName name="Quantity_Standard_A8m_v2" localSheetId="9">#REF!</definedName>
    <definedName name="Quantity_Standard_A8m_v2">DefineByVMFootprint!$B$29</definedName>
    <definedName name="Quantity_Standard_D1" localSheetId="9">#REF!</definedName>
    <definedName name="Quantity_Standard_D1">DefineByVMFootprint!$B$31</definedName>
    <definedName name="Quantity_Standard_D1_v2" localSheetId="9">#REF!</definedName>
    <definedName name="Quantity_Standard_D1_v2">DefineByVMFootprint!$B$41</definedName>
    <definedName name="Quantity_Standard_D11" localSheetId="9">#REF!</definedName>
    <definedName name="Quantity_Standard_D11">DefineByVMFootprint!$B$67</definedName>
    <definedName name="Quantity_Standard_D11_v2" localSheetId="9">#REF!</definedName>
    <definedName name="Quantity_Standard_D11_v2">DefineByVMFootprint!$B$77</definedName>
    <definedName name="Quantity_Standard_D12" localSheetId="9">#REF!</definedName>
    <definedName name="Quantity_Standard_D12">DefineByVMFootprint!$B$68</definedName>
    <definedName name="Quantity_Standard_D12_v2" localSheetId="9">#REF!</definedName>
    <definedName name="Quantity_Standard_D12_v2">DefineByVMFootprint!$B$78</definedName>
    <definedName name="Quantity_Standard_D13" localSheetId="9">#REF!</definedName>
    <definedName name="Quantity_Standard_D13">DefineByVMFootprint!$B$69</definedName>
    <definedName name="Quantity_Standard_D13_v2" localSheetId="9">#REF!</definedName>
    <definedName name="Quantity_Standard_D13_v2">DefineByVMFootprint!$B$79</definedName>
    <definedName name="Quantity_Standard_D14" localSheetId="9">#REF!</definedName>
    <definedName name="Quantity_Standard_D14">DefineByVMFootprint!$B$70</definedName>
    <definedName name="Quantity_Standard_D14_v2" localSheetId="9">#REF!</definedName>
    <definedName name="Quantity_Standard_D14_v2">DefineByVMFootprint!$B$80</definedName>
    <definedName name="Quantity_Standard_D16_V3">DefineByVMFootprint!$B$63</definedName>
    <definedName name="Quantity_Standard_D2" localSheetId="9">#REF!</definedName>
    <definedName name="Quantity_Standard_D2">DefineByVMFootprint!$B$32</definedName>
    <definedName name="Quantity_Standard_D2_v2" localSheetId="9">#REF!</definedName>
    <definedName name="Quantity_Standard_D2_v2">DefineByVMFootprint!$B$42</definedName>
    <definedName name="Quantity_Standard_D2_V3">DefineByVMFootprint!$B$60</definedName>
    <definedName name="Quantity_Standard_D3" localSheetId="9">#REF!</definedName>
    <definedName name="Quantity_Standard_D3">DefineByVMFootprint!$B$33</definedName>
    <definedName name="Quantity_Standard_D3_v2" localSheetId="9">#REF!</definedName>
    <definedName name="Quantity_Standard_D3_v2">DefineByVMFootprint!$B$43</definedName>
    <definedName name="Quantity_Standard_D32_V3">DefineByVMFootprint!$B$64</definedName>
    <definedName name="Quantity_Standard_D4" localSheetId="9">#REF!</definedName>
    <definedName name="Quantity_Standard_D4">DefineByVMFootprint!$B$34</definedName>
    <definedName name="Quantity_Standard_D4_v2" localSheetId="9">#REF!</definedName>
    <definedName name="Quantity_Standard_D4_v2">DefineByVMFootprint!$B$44</definedName>
    <definedName name="Quantity_Standard_D4_V3">DefineByVMFootprint!$B$61</definedName>
    <definedName name="Quantity_Standard_D48_V3">DefineByVMFootprint!#REF!</definedName>
    <definedName name="Quantity_Standard_D5_v2" localSheetId="9">#REF!</definedName>
    <definedName name="Quantity_Standard_D5_v2">DefineByVMFootprint!$B$45</definedName>
    <definedName name="Quantity_Standard_D64_V3">DefineByVMFootprint!#REF!</definedName>
    <definedName name="Quantity_Standard_D8_V3">DefineByVMFootprint!$B$62</definedName>
    <definedName name="Quantity_Standard_DS1" localSheetId="9">#REF!</definedName>
    <definedName name="Quantity_Standard_DS1">DefineByVMFootprint!$B$36</definedName>
    <definedName name="Quantity_Standard_DS1_v2" localSheetId="9">#REF!</definedName>
    <definedName name="Quantity_Standard_DS1_v2">DefineByVMFootprint!$B$47</definedName>
    <definedName name="Quantity_Standard_DS11" localSheetId="9">#REF!</definedName>
    <definedName name="Quantity_Standard_DS11">DefineByVMFootprint!$B$72</definedName>
    <definedName name="Quantity_Standard_DS11_1_v2">DefineByVMFootprint!$B$52</definedName>
    <definedName name="Quantity_Standard_DS11_v2" localSheetId="9">#REF!</definedName>
    <definedName name="Quantity_Standard_DS11_v2">DefineByVMFootprint!$B$82</definedName>
    <definedName name="Quantity_Standard_DS12" localSheetId="9">#REF!</definedName>
    <definedName name="Quantity_Standard_DS12">DefineByVMFootprint!$B$73</definedName>
    <definedName name="Quantity_Standard_DS12_1_v2">DefineByVMFootprint!$B$53</definedName>
    <definedName name="Quantity_Standard_DS12_2_v2">DefineByVMFootprint!$B$54</definedName>
    <definedName name="Quantity_Standard_DS12_v2" localSheetId="9">#REF!</definedName>
    <definedName name="Quantity_Standard_DS12_v2">DefineByVMFootprint!$B$83</definedName>
    <definedName name="Quantity_Standard_DS13" localSheetId="9">#REF!</definedName>
    <definedName name="Quantity_Standard_DS13">DefineByVMFootprint!$B$74</definedName>
    <definedName name="Quantity_Standard_DS13_2_v2">DefineByVMFootprint!$B$56</definedName>
    <definedName name="Quantity_Standard_DS13_4_v2">DefineByVMFootprint!$B$55</definedName>
    <definedName name="Quantity_Standard_DS13_v2" localSheetId="9">#REF!</definedName>
    <definedName name="Quantity_Standard_DS13_v2">DefineByVMFootprint!$B$84</definedName>
    <definedName name="Quantity_Standard_DS14" localSheetId="9">#REF!</definedName>
    <definedName name="Quantity_Standard_DS14">DefineByVMFootprint!$B$75</definedName>
    <definedName name="Quantity_Standard_DS14_4_v2">DefineByVMFootprint!$B$58</definedName>
    <definedName name="Quantity_Standard_DS14_8_v2">DefineByVMFootprint!$B$57</definedName>
    <definedName name="Quantity_Standard_DS14_v2" localSheetId="9">#REF!</definedName>
    <definedName name="Quantity_Standard_DS14_v2">DefineByVMFootprint!$B$85</definedName>
    <definedName name="Quantity_Standard_DS2" localSheetId="9">#REF!</definedName>
    <definedName name="Quantity_Standard_DS2">DefineByVMFootprint!$B$37</definedName>
    <definedName name="Quantity_Standard_DS2_v2" localSheetId="9">#REF!</definedName>
    <definedName name="Quantity_Standard_DS2_v2">DefineByVMFootprint!$B$48</definedName>
    <definedName name="Quantity_Standard_DS3" localSheetId="9">#REF!</definedName>
    <definedName name="Quantity_Standard_DS3">DefineByVMFootprint!$B$38</definedName>
    <definedName name="Quantity_Standard_DS3_v2" localSheetId="9">#REF!</definedName>
    <definedName name="Quantity_Standard_DS3_v2">DefineByVMFootprint!$B$49</definedName>
    <definedName name="Quantity_Standard_DS4" localSheetId="9">#REF!</definedName>
    <definedName name="Quantity_Standard_DS4">DefineByVMFootprint!$B$39</definedName>
    <definedName name="Quantity_Standard_DS4_v2" localSheetId="9">#REF!</definedName>
    <definedName name="Quantity_Standard_DS4_v2">DefineByVMFootprint!$B$50</definedName>
    <definedName name="Quantity_Standard_DS5_v2" localSheetId="9">#REF!</definedName>
    <definedName name="Quantity_Standard_DS5_v2">DefineByVMFootprint!$B$51</definedName>
    <definedName name="Quantity_Standard_E16_v3">DefineByVMFootprint!$B$90</definedName>
    <definedName name="Quantity_Standard_E2_v3">DefineByVMFootprint!$B$87</definedName>
    <definedName name="Quantity_Standard_E20_v3">DefineByVMFootprint!$B$91</definedName>
    <definedName name="Quantity_Standard_E32_v3">DefineByVMFootprint!#REF!</definedName>
    <definedName name="Quantity_Standard_E4_v3">DefineByVMFootprint!$B$88</definedName>
    <definedName name="Quantity_Standard_E48_v3">DefineByVMFootprint!#REF!</definedName>
    <definedName name="Quantity_Standard_E64_v3">DefineByVMFootprint!#REF!</definedName>
    <definedName name="Quantity_Standard_E64i_v3">DefineByVMFootprint!#REF!</definedName>
    <definedName name="Quantity_Standard_E8_v3">DefineByVMFootprint!$B$89</definedName>
    <definedName name="Quantity_Standard_F1" localSheetId="9">#REF!</definedName>
    <definedName name="Quantity_Standard_F1">DefineByVMFootprint!$B$94</definedName>
    <definedName name="Quantity_Standard_F16" localSheetId="9">#REF!</definedName>
    <definedName name="Quantity_Standard_F16">DefineByVMFootprint!$B$98</definedName>
    <definedName name="Quantity_Standard_F16s" localSheetId="9">#REF!</definedName>
    <definedName name="Quantity_Standard_F16s">DefineByVMFootprint!$B$104</definedName>
    <definedName name="Quantity_Standard_F16s_v2" localSheetId="9">#REF!</definedName>
    <definedName name="Quantity_Standard_F16s_v2">DefineByVMFootprint!$B$109</definedName>
    <definedName name="Quantity_Standard_F1s" localSheetId="9">#REF!</definedName>
    <definedName name="Quantity_Standard_F1s">DefineByVMFootprint!$B$100</definedName>
    <definedName name="Quantity_Standard_F2" localSheetId="9">#REF!</definedName>
    <definedName name="Quantity_Standard_F2">DefineByVMFootprint!$B$95</definedName>
    <definedName name="Quantity_Standard_F2s" localSheetId="9">#REF!</definedName>
    <definedName name="Quantity_Standard_F2s">DefineByVMFootprint!$B$101</definedName>
    <definedName name="Quantity_Standard_F2s_v2" localSheetId="9">#REF!</definedName>
    <definedName name="Quantity_Standard_F2s_v2">DefineByVMFootprint!$B$106</definedName>
    <definedName name="Quantity_Standard_F32s_v2" localSheetId="9">#REF!</definedName>
    <definedName name="Quantity_Standard_F32s_v2">DefineByVMFootprint!$B$110</definedName>
    <definedName name="Quantity_Standard_F4" localSheetId="9">#REF!</definedName>
    <definedName name="Quantity_Standard_F4">DefineByVMFootprint!$B$96</definedName>
    <definedName name="Quantity_Standard_F4s" localSheetId="9">#REF!</definedName>
    <definedName name="Quantity_Standard_F4s">DefineByVMFootprint!$B$102</definedName>
    <definedName name="Quantity_Standard_F4s_v2" localSheetId="9">#REF!</definedName>
    <definedName name="Quantity_Standard_F4s_v2">DefineByVMFootprint!$B$107</definedName>
    <definedName name="Quantity_Standard_F64s_v2" localSheetId="9">#REF!</definedName>
    <definedName name="Quantity_Standard_F64s_v2">DefineByVMFootprint!$B$111</definedName>
    <definedName name="Quantity_Standard_F8" localSheetId="9">#REF!</definedName>
    <definedName name="Quantity_Standard_F8">DefineByVMFootprint!$B$97</definedName>
    <definedName name="Quantity_Standard_F8s" localSheetId="9">#REF!</definedName>
    <definedName name="Quantity_Standard_F8s">DefineByVMFootprint!$B$103</definedName>
    <definedName name="Quantity_Standard_F8s_v2" localSheetId="9">#REF!</definedName>
    <definedName name="Quantity_Standard_F8s_v2">DefineByVMFootprint!$B$108</definedName>
    <definedName name="Quantity_Standard_NC12s_v3">DefineByVMFootprint!$B$114</definedName>
    <definedName name="Quantity_Standard_NC16as_T4_v3">DefineByVMFootprint!$B$119</definedName>
    <definedName name="Quantity_Standard_NC24ads_A100_v4">DefineByVMFootprint!$B$122</definedName>
    <definedName name="Quantity_Standard_NC24s_v3">DefineByVMFootprint!$B$115</definedName>
    <definedName name="Quantity_Standard_NC48ads_A100_v4">DefineByVMFootprint!$B$123</definedName>
    <definedName name="Quantity_Standard_NC4as_T4_v3">DefineByVMFootprint!$B$117</definedName>
    <definedName name="Quantity_Standard_NC64as_T4_v3">DefineByVMFootprint!$B$120</definedName>
    <definedName name="Quantity_Standard_NC6s_v3">DefineByVMFootprint!$B$113</definedName>
    <definedName name="Quantity_Standard_NC8as_T4_v3">DefineByVMFootprint!$B$118</definedName>
    <definedName name="Quantity_Standard_NV16as_v4">DefineByVMFootprint!$B$127</definedName>
    <definedName name="Quantity_Standard_NV32as_v4">DefineByVMFootprint!$B$128</definedName>
    <definedName name="Quantity_Standard_NV4as_v4">DefineByVMFootprint!$B$125</definedName>
    <definedName name="Quantity_Standard_NV8as_v4">DefineByVMFootprint!$B$126</definedName>
    <definedName name="Quantity_Tenant1_Basic_A0" localSheetId="9">#REF!</definedName>
    <definedName name="Quantity_Tenant1_Basic_A0">DefineByWorkloadFootprint!$D$9</definedName>
    <definedName name="Quantity_Tenant1_Basic_A1" localSheetId="9">#REF!</definedName>
    <definedName name="Quantity_Tenant1_Basic_A1">DefineByWorkloadFootprint!$D$10</definedName>
    <definedName name="Quantity_Tenant1_Basic_A2" localSheetId="9">#REF!</definedName>
    <definedName name="Quantity_Tenant1_Basic_A2">DefineByWorkloadFootprint!$D$11</definedName>
    <definedName name="Quantity_Tenant1_Basic_A3" localSheetId="9">#REF!</definedName>
    <definedName name="Quantity_Tenant1_Basic_A3">DefineByWorkloadFootprint!$D$12</definedName>
    <definedName name="Quantity_Tenant1_Basic_A4" localSheetId="9">#REF!</definedName>
    <definedName name="Quantity_Tenant1_Basic_A4">DefineByWorkloadFootprint!$D$13</definedName>
    <definedName name="Quantity_Tenant1_Standard_A0" localSheetId="9">#REF!</definedName>
    <definedName name="Quantity_Tenant1_Standard_A0">DefineByWorkloadFootprint!$D$15</definedName>
    <definedName name="Quantity_Tenant1_Standard_A1" localSheetId="9">#REF!</definedName>
    <definedName name="Quantity_Tenant1_Standard_A1">DefineByWorkloadFootprint!$D$16</definedName>
    <definedName name="Quantity_Tenant1_Standard_A1_v2" localSheetId="9">#REF!</definedName>
    <definedName name="Quantity_Tenant1_Standard_A1_v2">DefineByWorkloadFootprint!$D$24</definedName>
    <definedName name="Quantity_Tenant1_Standard_A2" localSheetId="9">#REF!</definedName>
    <definedName name="Quantity_Tenant1_Standard_A2">DefineByWorkloadFootprint!$D$17</definedName>
    <definedName name="Quantity_Tenant1_Standard_A2_v2" localSheetId="9">#REF!</definedName>
    <definedName name="Quantity_Tenant1_Standard_A2_v2">DefineByWorkloadFootprint!$D$25</definedName>
    <definedName name="Quantity_Tenant1_Standard_A2m_v2" localSheetId="9">#REF!</definedName>
    <definedName name="Quantity_Tenant1_Standard_A2m_v2">DefineByWorkloadFootprint!$D$28</definedName>
    <definedName name="Quantity_Tenant1_Standard_A3" localSheetId="9">#REF!</definedName>
    <definedName name="Quantity_Tenant1_Standard_A3">DefineByWorkloadFootprint!$D$18</definedName>
    <definedName name="Quantity_Tenant1_Standard_A4" localSheetId="9">#REF!</definedName>
    <definedName name="Quantity_Tenant1_Standard_A4">DefineByWorkloadFootprint!$D$19</definedName>
    <definedName name="Quantity_Tenant1_Standard_A4_v2" localSheetId="9">#REF!</definedName>
    <definedName name="Quantity_Tenant1_Standard_A4_v2">DefineByWorkloadFootprint!$D$26</definedName>
    <definedName name="Quantity_Tenant1_Standard_A4m_v2" localSheetId="9">#REF!</definedName>
    <definedName name="Quantity_Tenant1_Standard_A4m_v2">DefineByWorkloadFootprint!$D$29</definedName>
    <definedName name="Quantity_Tenant1_Standard_A5" localSheetId="9">#REF!</definedName>
    <definedName name="Quantity_Tenant1_Standard_A5">DefineByWorkloadFootprint!$D$20</definedName>
    <definedName name="Quantity_Tenant1_Standard_A6" localSheetId="9">#REF!</definedName>
    <definedName name="Quantity_Tenant1_Standard_A6">DefineByWorkloadFootprint!$D$21</definedName>
    <definedName name="Quantity_Tenant1_Standard_A7" localSheetId="9">#REF!</definedName>
    <definedName name="Quantity_Tenant1_Standard_A7">DefineByWorkloadFootprint!$D$22</definedName>
    <definedName name="Quantity_Tenant1_Standard_A8_v2" localSheetId="9">#REF!</definedName>
    <definedName name="Quantity_Tenant1_Standard_A8_v2">DefineByWorkloadFootprint!$D$27</definedName>
    <definedName name="Quantity_Tenant1_Standard_A8m_v2" localSheetId="9">#REF!</definedName>
    <definedName name="Quantity_Tenant1_Standard_A8m_v2">DefineByWorkloadFootprint!$D$30</definedName>
    <definedName name="Quantity_Tenant1_Standard_D1" localSheetId="9">#REF!</definedName>
    <definedName name="Quantity_Tenant1_Standard_D1">DefineByWorkloadFootprint!$D$32</definedName>
    <definedName name="Quantity_Tenant1_Standard_D1_v2" localSheetId="9">#REF!</definedName>
    <definedName name="Quantity_Tenant1_Standard_D1_v2">DefineByWorkloadFootprint!$D$42</definedName>
    <definedName name="Quantity_Tenant1_Standard_D11" localSheetId="9">#REF!</definedName>
    <definedName name="Quantity_Tenant1_Standard_D11">DefineByWorkloadFootprint!$D$68</definedName>
    <definedName name="Quantity_Tenant1_Standard_D11_v2" localSheetId="9">#REF!</definedName>
    <definedName name="Quantity_Tenant1_Standard_D11_v2">DefineByWorkloadFootprint!$D$78</definedName>
    <definedName name="Quantity_Tenant1_Standard_D12" localSheetId="9">#REF!</definedName>
    <definedName name="Quantity_Tenant1_Standard_D12">DefineByWorkloadFootprint!$D$69</definedName>
    <definedName name="Quantity_Tenant1_Standard_D12_v2" localSheetId="9">#REF!</definedName>
    <definedName name="Quantity_Tenant1_Standard_D12_v2">DefineByWorkloadFootprint!$D$79</definedName>
    <definedName name="Quantity_Tenant1_Standard_D13" localSheetId="9">#REF!</definedName>
    <definedName name="Quantity_Tenant1_Standard_D13">DefineByWorkloadFootprint!$D$70</definedName>
    <definedName name="Quantity_Tenant1_Standard_D13_v2" localSheetId="9">#REF!</definedName>
    <definedName name="Quantity_Tenant1_Standard_D13_v2">DefineByWorkloadFootprint!$D$80</definedName>
    <definedName name="Quantity_Tenant1_Standard_D14" localSheetId="9">#REF!</definedName>
    <definedName name="Quantity_Tenant1_Standard_D14">DefineByWorkloadFootprint!$D$71</definedName>
    <definedName name="Quantity_Tenant1_Standard_D14_v2" localSheetId="9">#REF!</definedName>
    <definedName name="Quantity_Tenant1_Standard_D14_v2">DefineByWorkloadFootprint!$D$81</definedName>
    <definedName name="Quantity_Tenant1_Standard_D16_V3">DefineByWorkloadFootprint!$D$64</definedName>
    <definedName name="Quantity_Tenant1_Standard_D2" localSheetId="9">#REF!</definedName>
    <definedName name="Quantity_Tenant1_Standard_D2">DefineByWorkloadFootprint!$D$33</definedName>
    <definedName name="Quantity_Tenant1_Standard_D2_v2" localSheetId="9">#REF!</definedName>
    <definedName name="Quantity_Tenant1_Standard_D2_v2">DefineByWorkloadFootprint!$D$43</definedName>
    <definedName name="Quantity_Tenant1_Standard_D2_V3">DefineByWorkloadFootprint!$D$61</definedName>
    <definedName name="Quantity_Tenant1_Standard_D3" localSheetId="9">#REF!</definedName>
    <definedName name="Quantity_Tenant1_Standard_D3">DefineByWorkloadFootprint!$D$34</definedName>
    <definedName name="Quantity_Tenant1_Standard_D3_v2" localSheetId="9">#REF!</definedName>
    <definedName name="Quantity_Tenant1_Standard_D3_v2">DefineByWorkloadFootprint!$D$44</definedName>
    <definedName name="Quantity_Tenant1_Standard_D32_V3">DefineByWorkloadFootprint!$D$65</definedName>
    <definedName name="Quantity_Tenant1_Standard_D4" localSheetId="9">#REF!</definedName>
    <definedName name="Quantity_Tenant1_Standard_D4">DefineByWorkloadFootprint!$D$35</definedName>
    <definedName name="Quantity_Tenant1_Standard_D4_v2" localSheetId="9">#REF!</definedName>
    <definedName name="Quantity_Tenant1_Standard_D4_v2">DefineByWorkloadFootprint!$D$45</definedName>
    <definedName name="Quantity_Tenant1_Standard_D4_V3">DefineByWorkloadFootprint!$D$62</definedName>
    <definedName name="Quantity_Tenant1_Standard_D48_V3">DefineByWorkloadFootprint!#REF!</definedName>
    <definedName name="Quantity_Tenant1_Standard_D5_v2" localSheetId="9">#REF!</definedName>
    <definedName name="Quantity_Tenant1_Standard_D5_v2">DefineByWorkloadFootprint!$D$46</definedName>
    <definedName name="Quantity_Tenant1_Standard_D64_V3">DefineByWorkloadFootprint!#REF!</definedName>
    <definedName name="Quantity_Tenant1_Standard_D8_V3">DefineByWorkloadFootprint!$D$63</definedName>
    <definedName name="Quantity_Tenant1_Standard_DS1" localSheetId="9">#REF!</definedName>
    <definedName name="Quantity_Tenant1_Standard_DS1">DefineByWorkloadFootprint!$D$37</definedName>
    <definedName name="Quantity_Tenant1_Standard_DS1_v2" localSheetId="9">#REF!</definedName>
    <definedName name="Quantity_Tenant1_Standard_DS1_v2">DefineByWorkloadFootprint!$D$48</definedName>
    <definedName name="Quantity_Tenant1_Standard_DS11" localSheetId="9">#REF!</definedName>
    <definedName name="Quantity_Tenant1_Standard_DS11">DefineByWorkloadFootprint!$D$73</definedName>
    <definedName name="Quantity_Tenant1_Standard_DS11_1_v2">DefineByWorkloadFootprint!$D$53</definedName>
    <definedName name="Quantity_Tenant1_Standard_DS11_v2" localSheetId="9">#REF!</definedName>
    <definedName name="Quantity_Tenant1_Standard_DS11_v2">DefineByWorkloadFootprint!$D$83</definedName>
    <definedName name="Quantity_Tenant1_Standard_DS12" localSheetId="9">#REF!</definedName>
    <definedName name="Quantity_Tenant1_Standard_DS12">DefineByWorkloadFootprint!$D$74</definedName>
    <definedName name="Quantity_Tenant1_Standard_DS12_1_v2">DefineByWorkloadFootprint!$D$54</definedName>
    <definedName name="Quantity_Tenant1_Standard_DS12_2_v2">DefineByWorkloadFootprint!$D$55</definedName>
    <definedName name="Quantity_Tenant1_Standard_DS12_v2" localSheetId="9">#REF!</definedName>
    <definedName name="Quantity_Tenant1_Standard_DS12_v2">DefineByWorkloadFootprint!$D$84</definedName>
    <definedName name="Quantity_Tenant1_Standard_DS13" localSheetId="9">#REF!</definedName>
    <definedName name="Quantity_Tenant1_Standard_DS13">DefineByWorkloadFootprint!$D$75</definedName>
    <definedName name="Quantity_Tenant1_Standard_DS13_2_v2">DefineByWorkloadFootprint!$D$57</definedName>
    <definedName name="Quantity_Tenant1_Standard_DS13_4_v2">DefineByWorkloadFootprint!$D$56</definedName>
    <definedName name="Quantity_Tenant1_Standard_DS13_v2" localSheetId="9">#REF!</definedName>
    <definedName name="Quantity_Tenant1_Standard_DS13_v2">DefineByWorkloadFootprint!$D$85</definedName>
    <definedName name="Quantity_Tenant1_Standard_DS14" localSheetId="9">#REF!</definedName>
    <definedName name="Quantity_Tenant1_Standard_DS14">DefineByWorkloadFootprint!$D$76</definedName>
    <definedName name="Quantity_Tenant1_Standard_DS14_4_v2">DefineByWorkloadFootprint!$D$59</definedName>
    <definedName name="Quantity_Tenant1_Standard_DS14_8_v2">DefineByWorkloadFootprint!$D$58</definedName>
    <definedName name="Quantity_Tenant1_Standard_DS14_v2" localSheetId="9">#REF!</definedName>
    <definedName name="Quantity_Tenant1_Standard_DS14_v2">DefineByWorkloadFootprint!$D$86</definedName>
    <definedName name="Quantity_Tenant1_Standard_DS2" localSheetId="9">#REF!</definedName>
    <definedName name="Quantity_Tenant1_Standard_DS2">DefineByWorkloadFootprint!$D$38</definedName>
    <definedName name="Quantity_Tenant1_Standard_DS2_v2" localSheetId="9">#REF!</definedName>
    <definedName name="Quantity_Tenant1_Standard_DS2_v2">DefineByWorkloadFootprint!$D$49</definedName>
    <definedName name="Quantity_Tenant1_Standard_DS3" localSheetId="9">#REF!</definedName>
    <definedName name="Quantity_Tenant1_Standard_DS3">DefineByWorkloadFootprint!$D$39</definedName>
    <definedName name="Quantity_Tenant1_Standard_DS3_v2" localSheetId="9">#REF!</definedName>
    <definedName name="Quantity_Tenant1_Standard_DS3_v2">DefineByWorkloadFootprint!$D$50</definedName>
    <definedName name="Quantity_Tenant1_Standard_DS4" localSheetId="9">#REF!</definedName>
    <definedName name="Quantity_Tenant1_Standard_DS4">DefineByWorkloadFootprint!$D$40</definedName>
    <definedName name="Quantity_Tenant1_Standard_DS4_v2" localSheetId="9">#REF!</definedName>
    <definedName name="Quantity_Tenant1_Standard_DS4_v2">DefineByWorkloadFootprint!$D$51</definedName>
    <definedName name="Quantity_Tenant1_Standard_DS5_v2" localSheetId="9">#REF!</definedName>
    <definedName name="Quantity_Tenant1_Standard_DS5_v2">DefineByWorkloadFootprint!$D$52</definedName>
    <definedName name="Quantity_Tenant1_Standard_E16_v3">DefineByWorkloadFootprint!$D$91</definedName>
    <definedName name="Quantity_Tenant1_Standard_E2_v3">DefineByWorkloadFootprint!$D$88</definedName>
    <definedName name="Quantity_Tenant1_Standard_E20_v3">DefineByWorkloadFootprint!$D$92</definedName>
    <definedName name="Quantity_Tenant1_Standard_E32_v3">DefineByWorkloadFootprint!#REF!</definedName>
    <definedName name="Quantity_Tenant1_Standard_E4_v3">DefineByWorkloadFootprint!$D$89</definedName>
    <definedName name="Quantity_Tenant1_Standard_E48_v3">DefineByWorkloadFootprint!#REF!</definedName>
    <definedName name="Quantity_Tenant1_Standard_E64_v3">DefineByWorkloadFootprint!#REF!</definedName>
    <definedName name="Quantity_Tenant1_Standard_E64i_v3">DefineByWorkloadFootprint!#REF!</definedName>
    <definedName name="Quantity_Tenant1_Standard_E8_v3">DefineByWorkloadFootprint!$D$90</definedName>
    <definedName name="Quantity_Tenant1_Standard_F1" localSheetId="9">#REF!</definedName>
    <definedName name="Quantity_Tenant1_Standard_F1">DefineByWorkloadFootprint!$D$95</definedName>
    <definedName name="Quantity_Tenant1_Standard_F16" localSheetId="9">#REF!</definedName>
    <definedName name="Quantity_Tenant1_Standard_F16">DefineByWorkloadFootprint!$D$99</definedName>
    <definedName name="Quantity_Tenant1_Standard_F16s" localSheetId="9">#REF!</definedName>
    <definedName name="Quantity_Tenant1_Standard_F16s">DefineByWorkloadFootprint!$D$105</definedName>
    <definedName name="Quantity_Tenant1_Standard_F16s_v2" localSheetId="9">#REF!</definedName>
    <definedName name="Quantity_Tenant1_Standard_F16s_v2">DefineByWorkloadFootprint!$D$110</definedName>
    <definedName name="Quantity_Tenant1_Standard_F1s" localSheetId="9">#REF!</definedName>
    <definedName name="Quantity_Tenant1_Standard_F1s">DefineByWorkloadFootprint!$D$101</definedName>
    <definedName name="Quantity_Tenant1_Standard_F2" localSheetId="9">#REF!</definedName>
    <definedName name="Quantity_Tenant1_Standard_F2">DefineByWorkloadFootprint!$D$96</definedName>
    <definedName name="Quantity_Tenant1_Standard_F2s" localSheetId="9">#REF!</definedName>
    <definedName name="Quantity_Tenant1_Standard_F2s">DefineByWorkloadFootprint!$D$102</definedName>
    <definedName name="Quantity_Tenant1_Standard_F2s_v2" localSheetId="9">#REF!</definedName>
    <definedName name="Quantity_Tenant1_Standard_F2s_v2">DefineByWorkloadFootprint!$D$107</definedName>
    <definedName name="Quantity_Tenant1_Standard_F32s_v2" localSheetId="9">#REF!</definedName>
    <definedName name="Quantity_Tenant1_Standard_F32s_v2">DefineByWorkloadFootprint!$D$111</definedName>
    <definedName name="Quantity_Tenant1_Standard_F4" localSheetId="9">#REF!</definedName>
    <definedName name="Quantity_Tenant1_Standard_F4">DefineByWorkloadFootprint!$D$97</definedName>
    <definedName name="Quantity_Tenant1_Standard_F4s" localSheetId="9">#REF!</definedName>
    <definedName name="Quantity_Tenant1_Standard_F4s">DefineByWorkloadFootprint!$D$103</definedName>
    <definedName name="Quantity_Tenant1_Standard_F4s_v2" localSheetId="9">#REF!</definedName>
    <definedName name="Quantity_Tenant1_Standard_F4s_v2">DefineByWorkloadFootprint!$D$108</definedName>
    <definedName name="Quantity_Tenant1_Standard_F64s_v2" localSheetId="9">#REF!</definedName>
    <definedName name="Quantity_Tenant1_Standard_F64s_v2">DefineByWorkloadFootprint!$D$112</definedName>
    <definedName name="Quantity_Tenant1_Standard_F8" localSheetId="9">#REF!</definedName>
    <definedName name="Quantity_Tenant1_Standard_F8">DefineByWorkloadFootprint!$D$98</definedName>
    <definedName name="Quantity_Tenant1_Standard_F8s" localSheetId="9">#REF!</definedName>
    <definedName name="Quantity_Tenant1_Standard_F8s">DefineByWorkloadFootprint!$D$104</definedName>
    <definedName name="Quantity_Tenant1_Standard_F8s_v2" localSheetId="9">#REF!</definedName>
    <definedName name="Quantity_Tenant1_Standard_F8s_v2">DefineByWorkloadFootprint!$D$109</definedName>
    <definedName name="Quantity_Tenant1_Standard_NC12s_v3">DefineByWorkloadFootprint!$D$115</definedName>
    <definedName name="Quantity_Tenant1_Standard_NC16as_T4_v3">DefineByWorkloadFootprint!$D$120</definedName>
    <definedName name="Quantity_Tenant1_Standard_NC24ads_A100_v4">DefineByWorkloadFootprint!$D$123</definedName>
    <definedName name="Quantity_Tenant1_Standard_NC24s_v3">DefineByWorkloadFootprint!$D$116</definedName>
    <definedName name="Quantity_Tenant1_Standard_NC48ads_A100_v4">DefineByWorkloadFootprint!$D$124</definedName>
    <definedName name="Quantity_Tenant1_Standard_NC4as_T4_v3">DefineByWorkloadFootprint!$D$118</definedName>
    <definedName name="Quantity_Tenant1_Standard_NC64as_T4_v3">DefineByWorkloadFootprint!$D$121</definedName>
    <definedName name="Quantity_Tenant1_Standard_NC6s_v3">DefineByWorkloadFootprint!$D$114</definedName>
    <definedName name="Quantity_Tenant1_Standard_NC8as_T4_v3">DefineByWorkloadFootprint!$D$119</definedName>
    <definedName name="Quantity_Tenant1_Standard_NV16as_v4">DefineByWorkloadFootprint!$D$128</definedName>
    <definedName name="Quantity_Tenant1_Standard_NV32as_v4">DefineByWorkloadFootprint!$D$129</definedName>
    <definedName name="Quantity_Tenant1_Standard_NV4as_v4">DefineByWorkloadFootprint!$D$126</definedName>
    <definedName name="Quantity_Tenant1_Standard_NV8as_v4">DefineByWorkloadFootprint!$D$127</definedName>
    <definedName name="Quantity_Tenant1_VM1">DefineByWorkloadFootprint!$H$204</definedName>
    <definedName name="Quantity_Tenant1_VM3">DefineByWorkloadFootprint!$O$204</definedName>
    <definedName name="Quantity_Tenant1_VM4">DefineByWorkloadFootprint!$T$202</definedName>
    <definedName name="Quantity_Tenant1_VM5">DefineByWorkloadFootprint!$X$202</definedName>
    <definedName name="Quantity_Tenant16_Standard_D4_V3">DefineByWorkloadFootprint!#REF!</definedName>
    <definedName name="Quantity_Tenant2_Basic_A0" localSheetId="9">#REF!</definedName>
    <definedName name="Quantity_Tenant2_Basic_A0">DefineByWorkloadFootprint!$E$9</definedName>
    <definedName name="Quantity_Tenant2_Basic_A1" localSheetId="9">#REF!</definedName>
    <definedName name="Quantity_Tenant2_Basic_A1">DefineByWorkloadFootprint!$E$10</definedName>
    <definedName name="Quantity_Tenant2_Basic_A2" localSheetId="9">#REF!</definedName>
    <definedName name="Quantity_Tenant2_Basic_A2">DefineByWorkloadFootprint!$E$11</definedName>
    <definedName name="Quantity_Tenant2_Basic_A3" localSheetId="9">#REF!</definedName>
    <definedName name="Quantity_Tenant2_Basic_A3">DefineByWorkloadFootprint!$E$12</definedName>
    <definedName name="Quantity_Tenant2_Basic_A4" localSheetId="9">#REF!</definedName>
    <definedName name="Quantity_Tenant2_Basic_A4">DefineByWorkloadFootprint!$E$13</definedName>
    <definedName name="Quantity_Tenant2_Standard_A0" localSheetId="9">#REF!</definedName>
    <definedName name="Quantity_Tenant2_Standard_A0">DefineByWorkloadFootprint!$E$15</definedName>
    <definedName name="Quantity_Tenant2_Standard_A1" localSheetId="9">#REF!</definedName>
    <definedName name="Quantity_Tenant2_Standard_A1">DefineByWorkloadFootprint!$E$16</definedName>
    <definedName name="Quantity_Tenant2_Standard_A1_v2" localSheetId="9">#REF!</definedName>
    <definedName name="Quantity_Tenant2_Standard_A1_v2">DefineByWorkloadFootprint!$E$24</definedName>
    <definedName name="Quantity_Tenant2_Standard_A2" localSheetId="9">#REF!</definedName>
    <definedName name="Quantity_Tenant2_Standard_A2">DefineByWorkloadFootprint!$E$17</definedName>
    <definedName name="Quantity_Tenant2_Standard_A2_v2">DefineByWorkloadFootprint!$E$25</definedName>
    <definedName name="Quantity_Tenant2_Standard_A2m_v2" localSheetId="9">#REF!</definedName>
    <definedName name="Quantity_Tenant2_Standard_A2m_v2">DefineByWorkloadFootprint!$E$28</definedName>
    <definedName name="Quantity_Tenant2_Standard_A3" localSheetId="9">#REF!</definedName>
    <definedName name="Quantity_Tenant2_Standard_A3">DefineByWorkloadFootprint!$E$18</definedName>
    <definedName name="Quantity_Tenant2_Standard_A4" localSheetId="9">#REF!</definedName>
    <definedName name="Quantity_Tenant2_Standard_A4">DefineByWorkloadFootprint!$E$19</definedName>
    <definedName name="Quantity_Tenant2_Standard_A4_v2" localSheetId="9">#REF!</definedName>
    <definedName name="Quantity_Tenant2_Standard_A4_v2">DefineByWorkloadFootprint!$E$26</definedName>
    <definedName name="Quantity_Tenant2_Standard_A4m_v2" localSheetId="9">#REF!</definedName>
    <definedName name="Quantity_Tenant2_Standard_A4m_v2">DefineByWorkloadFootprint!$E$29</definedName>
    <definedName name="Quantity_Tenant2_Standard_A5" localSheetId="9">#REF!</definedName>
    <definedName name="Quantity_Tenant2_Standard_A5">DefineByWorkloadFootprint!$E$20</definedName>
    <definedName name="Quantity_Tenant2_Standard_A6" localSheetId="9">#REF!</definedName>
    <definedName name="Quantity_Tenant2_Standard_A6">DefineByWorkloadFootprint!$E$21</definedName>
    <definedName name="Quantity_Tenant2_Standard_A7" localSheetId="9">#REF!</definedName>
    <definedName name="Quantity_Tenant2_Standard_A7">DefineByWorkloadFootprint!$E$22</definedName>
    <definedName name="Quantity_Tenant2_Standard_A8_v2" localSheetId="9">#REF!</definedName>
    <definedName name="Quantity_Tenant2_Standard_A8_v2">DefineByWorkloadFootprint!$E$27</definedName>
    <definedName name="Quantity_Tenant2_Standard_A8m_v2" localSheetId="9">#REF!</definedName>
    <definedName name="Quantity_Tenant2_Standard_A8m_v2">DefineByWorkloadFootprint!$E$30</definedName>
    <definedName name="Quantity_Tenant2_Standard_D1" localSheetId="9">#REF!</definedName>
    <definedName name="Quantity_Tenant2_Standard_D1">DefineByWorkloadFootprint!$E$32</definedName>
    <definedName name="Quantity_Tenant2_Standard_D1_v2" localSheetId="9">#REF!</definedName>
    <definedName name="Quantity_Tenant2_Standard_D1_v2">DefineByWorkloadFootprint!$E$42</definedName>
    <definedName name="Quantity_Tenant2_Standard_D11" localSheetId="9">#REF!</definedName>
    <definedName name="Quantity_Tenant2_Standard_D11">DefineByWorkloadFootprint!$E$68</definedName>
    <definedName name="Quantity_Tenant2_Standard_D11_v2" localSheetId="9">#REF!</definedName>
    <definedName name="Quantity_Tenant2_Standard_D11_v2">DefineByWorkloadFootprint!$E$78</definedName>
    <definedName name="Quantity_Tenant2_Standard_D12" localSheetId="9">#REF!</definedName>
    <definedName name="Quantity_Tenant2_Standard_D12">DefineByWorkloadFootprint!$E$69</definedName>
    <definedName name="Quantity_Tenant2_Standard_D12_v2" localSheetId="9">#REF!</definedName>
    <definedName name="Quantity_Tenant2_Standard_D12_v2">DefineByWorkloadFootprint!$E$79</definedName>
    <definedName name="Quantity_Tenant2_Standard_D13" localSheetId="9">#REF!</definedName>
    <definedName name="Quantity_Tenant2_Standard_D13">DefineByWorkloadFootprint!$E$70</definedName>
    <definedName name="Quantity_Tenant2_Standard_D13_v2" localSheetId="9">#REF!</definedName>
    <definedName name="Quantity_Tenant2_Standard_D13_v2">DefineByWorkloadFootprint!$E$80</definedName>
    <definedName name="Quantity_Tenant2_Standard_D14" localSheetId="9">#REF!</definedName>
    <definedName name="Quantity_Tenant2_Standard_D14">DefineByWorkloadFootprint!$E$71</definedName>
    <definedName name="Quantity_Tenant2_Standard_D14_v2" localSheetId="9">#REF!</definedName>
    <definedName name="Quantity_Tenant2_Standard_D14_v2">DefineByWorkloadFootprint!$E$81</definedName>
    <definedName name="Quantity_Tenant2_Standard_D16_V3">DefineByWorkloadFootprint!$E$64</definedName>
    <definedName name="Quantity_Tenant2_Standard_D2" localSheetId="9">#REF!</definedName>
    <definedName name="Quantity_Tenant2_Standard_D2">DefineByWorkloadFootprint!$E$33</definedName>
    <definedName name="Quantity_Tenant2_Standard_D2_v2" localSheetId="9">#REF!</definedName>
    <definedName name="Quantity_Tenant2_Standard_D2_v2">DefineByWorkloadFootprint!$E$43</definedName>
    <definedName name="Quantity_Tenant2_Standard_D2_V3">DefineByWorkloadFootprint!$E$61</definedName>
    <definedName name="Quantity_Tenant2_Standard_D3" localSheetId="9">#REF!</definedName>
    <definedName name="Quantity_Tenant2_Standard_D3">DefineByWorkloadFootprint!$E$34</definedName>
    <definedName name="Quantity_Tenant2_Standard_D3_v2" localSheetId="9">#REF!</definedName>
    <definedName name="Quantity_Tenant2_Standard_D3_v2">DefineByWorkloadFootprint!$E$44</definedName>
    <definedName name="Quantity_Tenant2_Standard_D32_V3">DefineByWorkloadFootprint!$E$65</definedName>
    <definedName name="Quantity_Tenant2_Standard_D4" localSheetId="9">#REF!</definedName>
    <definedName name="Quantity_Tenant2_Standard_D4">DefineByWorkloadFootprint!$E$35</definedName>
    <definedName name="Quantity_Tenant2_Standard_D4_v2" localSheetId="9">#REF!</definedName>
    <definedName name="Quantity_Tenant2_Standard_D4_v2">DefineByWorkloadFootprint!$E$45</definedName>
    <definedName name="Quantity_Tenant2_Standard_D4_V3">DefineByWorkloadFootprint!$E$62</definedName>
    <definedName name="Quantity_Tenant2_Standard_D48_V3">DefineByWorkloadFootprint!#REF!</definedName>
    <definedName name="Quantity_Tenant2_Standard_D5_v2" localSheetId="9">#REF!</definedName>
    <definedName name="Quantity_Tenant2_Standard_D5_v2">DefineByWorkloadFootprint!$E$46</definedName>
    <definedName name="Quantity_Tenant2_Standard_D64_V3">DefineByWorkloadFootprint!#REF!</definedName>
    <definedName name="Quantity_Tenant2_Standard_D8_V3">DefineByWorkloadFootprint!$E$63</definedName>
    <definedName name="Quantity_Tenant2_Standard_DS1" localSheetId="9">#REF!</definedName>
    <definedName name="Quantity_Tenant2_Standard_DS1">DefineByWorkloadFootprint!$E$37</definedName>
    <definedName name="Quantity_Tenant2_Standard_DS1_v2" localSheetId="9">#REF!</definedName>
    <definedName name="Quantity_Tenant2_Standard_DS1_v2">DefineByWorkloadFootprint!$E$48</definedName>
    <definedName name="Quantity_Tenant2_Standard_DS11" localSheetId="9">#REF!</definedName>
    <definedName name="Quantity_Tenant2_Standard_DS11">DefineByWorkloadFootprint!$E$73</definedName>
    <definedName name="Quantity_Tenant2_Standard_DS11_1_v2">DefineByWorkloadFootprint!$E$53</definedName>
    <definedName name="Quantity_Tenant2_Standard_DS11_v2" localSheetId="9">#REF!</definedName>
    <definedName name="Quantity_Tenant2_Standard_DS11_v2">DefineByWorkloadFootprint!$E$83</definedName>
    <definedName name="Quantity_Tenant2_Standard_DS12" localSheetId="9">#REF!</definedName>
    <definedName name="Quantity_Tenant2_Standard_DS12">DefineByWorkloadFootprint!$E$74</definedName>
    <definedName name="Quantity_Tenant2_Standard_DS12_1_v2">DefineByWorkloadFootprint!$E$54</definedName>
    <definedName name="Quantity_Tenant2_Standard_DS12_2_v2">DefineByWorkloadFootprint!$E$55</definedName>
    <definedName name="Quantity_Tenant2_Standard_DS12_v2" localSheetId="9">#REF!</definedName>
    <definedName name="Quantity_Tenant2_Standard_DS12_v2">DefineByWorkloadFootprint!$E$84</definedName>
    <definedName name="Quantity_Tenant2_Standard_DS13" localSheetId="9">#REF!</definedName>
    <definedName name="Quantity_Tenant2_Standard_DS13">DefineByWorkloadFootprint!$E$75</definedName>
    <definedName name="Quantity_Tenant2_Standard_DS13_2_v2">DefineByWorkloadFootprint!$E$57</definedName>
    <definedName name="Quantity_Tenant2_Standard_DS13_4_v2">DefineByWorkloadFootprint!$E$56</definedName>
    <definedName name="Quantity_Tenant2_Standard_DS13_v2" localSheetId="9">#REF!</definedName>
    <definedName name="Quantity_Tenant2_Standard_DS13_v2">DefineByWorkloadFootprint!$E$85</definedName>
    <definedName name="Quantity_Tenant2_Standard_DS14" localSheetId="9">#REF!</definedName>
    <definedName name="Quantity_Tenant2_Standard_DS14">DefineByWorkloadFootprint!$E$76</definedName>
    <definedName name="Quantity_Tenant2_Standard_DS14_4_v2">DefineByWorkloadFootprint!$E$59</definedName>
    <definedName name="Quantity_Tenant2_Standard_DS14_8_v2">DefineByWorkloadFootprint!$E$58</definedName>
    <definedName name="Quantity_Tenant2_Standard_DS14_v2" localSheetId="9">#REF!</definedName>
    <definedName name="Quantity_Tenant2_Standard_DS14_v2">DefineByWorkloadFootprint!$E$86</definedName>
    <definedName name="Quantity_Tenant2_Standard_DS2" localSheetId="9">#REF!</definedName>
    <definedName name="Quantity_Tenant2_Standard_DS2">DefineByWorkloadFootprint!$E$38</definedName>
    <definedName name="Quantity_Tenant2_Standard_DS2_v2" localSheetId="9">#REF!</definedName>
    <definedName name="Quantity_Tenant2_Standard_DS2_v2">DefineByWorkloadFootprint!$E$49</definedName>
    <definedName name="Quantity_Tenant2_Standard_DS3" localSheetId="9">#REF!</definedName>
    <definedName name="Quantity_Tenant2_Standard_DS3">DefineByWorkloadFootprint!$E$39</definedName>
    <definedName name="Quantity_Tenant2_Standard_DS3_v2" localSheetId="9">#REF!</definedName>
    <definedName name="Quantity_Tenant2_Standard_DS3_v2">DefineByWorkloadFootprint!$E$50</definedName>
    <definedName name="Quantity_Tenant2_Standard_DS4" localSheetId="9">#REF!</definedName>
    <definedName name="Quantity_Tenant2_Standard_DS4">DefineByWorkloadFootprint!$E$40</definedName>
    <definedName name="Quantity_Tenant2_Standard_DS4_v2" localSheetId="9">#REF!</definedName>
    <definedName name="Quantity_Tenant2_Standard_DS4_v2">DefineByWorkloadFootprint!$E$51</definedName>
    <definedName name="Quantity_Tenant2_Standard_DS5_v2" localSheetId="9">#REF!</definedName>
    <definedName name="Quantity_Tenant2_Standard_DS5_v2">DefineByWorkloadFootprint!$E$52</definedName>
    <definedName name="Quantity_Tenant2_Standard_E16_v3">DefineByWorkloadFootprint!$E$91</definedName>
    <definedName name="Quantity_Tenant2_Standard_E2_v3">DefineByWorkloadFootprint!$E$88</definedName>
    <definedName name="Quantity_Tenant2_Standard_E20_v3">DefineByWorkloadFootprint!$E$92</definedName>
    <definedName name="Quantity_Tenant2_Standard_E32_v3">DefineByWorkloadFootprint!#REF!</definedName>
    <definedName name="Quantity_Tenant2_Standard_E4_v3">DefineByWorkloadFootprint!$E$89</definedName>
    <definedName name="Quantity_Tenant2_Standard_E48_v3">DefineByWorkloadFootprint!#REF!</definedName>
    <definedName name="Quantity_Tenant2_Standard_E64_v3">DefineByWorkloadFootprint!#REF!</definedName>
    <definedName name="Quantity_Tenant2_Standard_E64i_v3">DefineByWorkloadFootprint!#REF!</definedName>
    <definedName name="Quantity_Tenant2_Standard_E8_v3">DefineByWorkloadFootprint!$E$90</definedName>
    <definedName name="Quantity_Tenant2_Standard_F1" localSheetId="9">#REF!</definedName>
    <definedName name="Quantity_Tenant2_Standard_F1">DefineByWorkloadFootprint!$E$95</definedName>
    <definedName name="Quantity_Tenant2_Standard_F16" localSheetId="9">#REF!</definedName>
    <definedName name="Quantity_Tenant2_Standard_F16">DefineByWorkloadFootprint!$E$99</definedName>
    <definedName name="Quantity_Tenant2_Standard_F16s" localSheetId="9">#REF!</definedName>
    <definedName name="Quantity_Tenant2_Standard_F16s">DefineByWorkloadFootprint!$E$105</definedName>
    <definedName name="Quantity_Tenant2_Standard_F16s_v2" localSheetId="9">#REF!</definedName>
    <definedName name="Quantity_Tenant2_Standard_F16s_v2">DefineByWorkloadFootprint!$E$110</definedName>
    <definedName name="Quantity_Tenant2_Standard_F1s" localSheetId="9">#REF!</definedName>
    <definedName name="Quantity_Tenant2_Standard_F1s">DefineByWorkloadFootprint!$E$101</definedName>
    <definedName name="Quantity_Tenant2_Standard_F2" localSheetId="9">#REF!</definedName>
    <definedName name="Quantity_Tenant2_Standard_F2">DefineByWorkloadFootprint!$E$96</definedName>
    <definedName name="Quantity_Tenant2_Standard_F2s" localSheetId="9">#REF!</definedName>
    <definedName name="Quantity_Tenant2_Standard_F2s">DefineByWorkloadFootprint!$E$102</definedName>
    <definedName name="Quantity_Tenant2_Standard_F2s_v2" localSheetId="9">#REF!</definedName>
    <definedName name="Quantity_Tenant2_Standard_F2s_v2">DefineByWorkloadFootprint!$E$107</definedName>
    <definedName name="Quantity_Tenant2_Standard_F32s_v2" localSheetId="9">#REF!</definedName>
    <definedName name="Quantity_Tenant2_Standard_F32s_v2">DefineByWorkloadFootprint!$E$111</definedName>
    <definedName name="Quantity_Tenant2_Standard_F4" localSheetId="9">#REF!</definedName>
    <definedName name="Quantity_Tenant2_Standard_F4">DefineByWorkloadFootprint!$E$97</definedName>
    <definedName name="Quantity_Tenant2_Standard_F4s" localSheetId="9">#REF!</definedName>
    <definedName name="Quantity_Tenant2_Standard_F4s">DefineByWorkloadFootprint!$E$103</definedName>
    <definedName name="Quantity_Tenant2_Standard_F4s_v2" localSheetId="9">#REF!</definedName>
    <definedName name="Quantity_Tenant2_Standard_F4s_v2">DefineByWorkloadFootprint!$E$108</definedName>
    <definedName name="Quantity_Tenant2_Standard_F64s_v2" localSheetId="9">#REF!</definedName>
    <definedName name="Quantity_Tenant2_Standard_F64s_v2">DefineByWorkloadFootprint!$E$112</definedName>
    <definedName name="Quantity_Tenant2_Standard_F8" localSheetId="9">#REF!</definedName>
    <definedName name="Quantity_Tenant2_Standard_F8">DefineByWorkloadFootprint!$E$98</definedName>
    <definedName name="Quantity_Tenant2_Standard_F8s" localSheetId="9">#REF!</definedName>
    <definedName name="Quantity_Tenant2_Standard_F8s">DefineByWorkloadFootprint!$E$104</definedName>
    <definedName name="Quantity_Tenant2_Standard_F8s_v2" localSheetId="9">#REF!</definedName>
    <definedName name="Quantity_Tenant2_Standard_F8s_v2">DefineByWorkloadFootprint!$E$109</definedName>
    <definedName name="Quantity_Tenant2_Standard_NC12s_v3">DefineByWorkloadFootprint!$E$115</definedName>
    <definedName name="Quantity_Tenant2_Standard_NC16as_T4_v3">DefineByWorkloadFootprint!$E$120</definedName>
    <definedName name="Quantity_Tenant2_Standard_NC24ads_A100_v4">DefineByWorkloadFootprint!$E$123</definedName>
    <definedName name="Quantity_Tenant2_Standard_NC24s_v3">DefineByWorkloadFootprint!$E$116</definedName>
    <definedName name="Quantity_Tenant2_Standard_NC48ads_A100_v4">DefineByWorkloadFootprint!$E$124</definedName>
    <definedName name="Quantity_Tenant2_Standard_NC4as_T4_v3">DefineByWorkloadFootprint!$E$118</definedName>
    <definedName name="Quantity_Tenant2_Standard_NC64as_T4_v3">DefineByWorkloadFootprint!$E$121</definedName>
    <definedName name="Quantity_Tenant2_Standard_NC6s_v3">DefineByWorkloadFootprint!$E$114</definedName>
    <definedName name="Quantity_Tenant2_Standard_NC8as_T4_v3">DefineByWorkloadFootprint!$E$119</definedName>
    <definedName name="Quantity_Tenant2_Standard_NV16as_v4">DefineByWorkloadFootprint!$E$128</definedName>
    <definedName name="Quantity_Tenant2_Standard_NV32as_v4">DefineByWorkloadFootprint!$E$129</definedName>
    <definedName name="Quantity_Tenant2_Standard_NV4as_v4">DefineByWorkloadFootprint!$E$126</definedName>
    <definedName name="Quantity_Tenant2_Standard_NV8as_v4">DefineByWorkloadFootprint!$E$127</definedName>
    <definedName name="Quantity_Tenant2_VM1">DefineByWorkloadFootprint!$H$200</definedName>
    <definedName name="Quantity_Tenant2_VM3">DefineByWorkloadFootprint!$O$200</definedName>
    <definedName name="Quantity_Tenant2_VM4">DefineByWorkloadFootprint!$T$203</definedName>
    <definedName name="Quantity_Tenant2_VM5">DefineByWorkloadFootprint!$X$203</definedName>
    <definedName name="Quantity_Tenant3_Basic_A0" localSheetId="9">#REF!</definedName>
    <definedName name="Quantity_Tenant3_Basic_A0">DefineByWorkloadFootprint!$F$9</definedName>
    <definedName name="Quantity_Tenant3_Basic_A1" localSheetId="9">#REF!</definedName>
    <definedName name="Quantity_Tenant3_Basic_A1">DefineByWorkloadFootprint!$F$10</definedName>
    <definedName name="Quantity_Tenant3_Basic_A2" localSheetId="9">#REF!</definedName>
    <definedName name="Quantity_Tenant3_Basic_A2">DefineByWorkloadFootprint!$F$11</definedName>
    <definedName name="Quantity_Tenant3_Basic_A3" localSheetId="9">#REF!</definedName>
    <definedName name="Quantity_Tenant3_Basic_A3">DefineByWorkloadFootprint!$F$12</definedName>
    <definedName name="Quantity_Tenant3_Basic_A4" localSheetId="9">#REF!</definedName>
    <definedName name="Quantity_Tenant3_Basic_A4">DefineByWorkloadFootprint!$F$13</definedName>
    <definedName name="Quantity_Tenant3_Standard_A0" localSheetId="9">#REF!</definedName>
    <definedName name="Quantity_Tenant3_Standard_A0">DefineByWorkloadFootprint!$F$15</definedName>
    <definedName name="Quantity_Tenant3_Standard_A1" localSheetId="9">#REF!</definedName>
    <definedName name="Quantity_Tenant3_Standard_A1">DefineByWorkloadFootprint!$F$16</definedName>
    <definedName name="Quantity_Tenant3_Standard_A1_v2" localSheetId="9">#REF!</definedName>
    <definedName name="Quantity_Tenant3_Standard_A1_v2">DefineByWorkloadFootprint!$F$24</definedName>
    <definedName name="Quantity_Tenant3_Standard_A2" localSheetId="9">#REF!</definedName>
    <definedName name="Quantity_Tenant3_Standard_A2">DefineByWorkloadFootprint!$F$17</definedName>
    <definedName name="Quantity_Tenant3_Standard_A2_v2" localSheetId="9">#REF!</definedName>
    <definedName name="Quantity_Tenant3_Standard_A2_v2">DefineByWorkloadFootprint!$F$25</definedName>
    <definedName name="Quantity_Tenant3_Standard_A2m_v2" localSheetId="9">#REF!</definedName>
    <definedName name="Quantity_Tenant3_Standard_A2m_v2">DefineByWorkloadFootprint!$F$28</definedName>
    <definedName name="Quantity_Tenant3_Standard_A3" localSheetId="9">#REF!</definedName>
    <definedName name="Quantity_Tenant3_Standard_A3">DefineByWorkloadFootprint!$F$18</definedName>
    <definedName name="Quantity_Tenant3_Standard_A4" localSheetId="9">#REF!</definedName>
    <definedName name="Quantity_Tenant3_Standard_A4">DefineByWorkloadFootprint!$F$19</definedName>
    <definedName name="Quantity_Tenant3_Standard_A4_v2" localSheetId="9">#REF!</definedName>
    <definedName name="Quantity_Tenant3_Standard_A4_v2">DefineByWorkloadFootprint!$F$26</definedName>
    <definedName name="Quantity_Tenant3_Standard_A4m_v2" localSheetId="9">#REF!</definedName>
    <definedName name="Quantity_Tenant3_Standard_A4m_v2">DefineByWorkloadFootprint!$F$29</definedName>
    <definedName name="Quantity_Tenant3_Standard_A5" localSheetId="9">#REF!</definedName>
    <definedName name="Quantity_Tenant3_Standard_A5">DefineByWorkloadFootprint!$F$20</definedName>
    <definedName name="Quantity_Tenant3_Standard_A6" localSheetId="9">#REF!</definedName>
    <definedName name="Quantity_Tenant3_Standard_A6">DefineByWorkloadFootprint!$F$21</definedName>
    <definedName name="Quantity_Tenant3_Standard_A7" localSheetId="9">#REF!</definedName>
    <definedName name="Quantity_Tenant3_Standard_A7">DefineByWorkloadFootprint!$F$22</definedName>
    <definedName name="Quantity_Tenant3_Standard_A8_v2" localSheetId="9">#REF!</definedName>
    <definedName name="Quantity_Tenant3_Standard_A8_v2">DefineByWorkloadFootprint!$F$27</definedName>
    <definedName name="Quantity_Tenant3_Standard_A8m_v2" localSheetId="9">#REF!</definedName>
    <definedName name="Quantity_Tenant3_Standard_A8m_v2">DefineByWorkloadFootprint!$F$30</definedName>
    <definedName name="Quantity_Tenant3_Standard_D1" localSheetId="9">#REF!</definedName>
    <definedName name="Quantity_Tenant3_Standard_D1">DefineByWorkloadFootprint!$F$32</definedName>
    <definedName name="Quantity_Tenant3_Standard_D1_v2" localSheetId="9">#REF!</definedName>
    <definedName name="Quantity_Tenant3_Standard_D1_v2">DefineByWorkloadFootprint!$F$42</definedName>
    <definedName name="Quantity_Tenant3_Standard_D11" localSheetId="9">#REF!</definedName>
    <definedName name="Quantity_Tenant3_Standard_D11">DefineByWorkloadFootprint!$F$68</definedName>
    <definedName name="Quantity_Tenant3_Standard_D11_v2" localSheetId="9">#REF!</definedName>
    <definedName name="Quantity_Tenant3_Standard_D11_v2">DefineByWorkloadFootprint!$F$78</definedName>
    <definedName name="Quantity_Tenant3_Standard_D12" localSheetId="9">#REF!</definedName>
    <definedName name="Quantity_Tenant3_Standard_D12">DefineByWorkloadFootprint!$F$69</definedName>
    <definedName name="Quantity_Tenant3_Standard_D12_v2" localSheetId="9">#REF!</definedName>
    <definedName name="Quantity_Tenant3_Standard_D12_v2">DefineByWorkloadFootprint!$F$79</definedName>
    <definedName name="Quantity_Tenant3_Standard_D13" localSheetId="9">#REF!</definedName>
    <definedName name="Quantity_Tenant3_Standard_D13">DefineByWorkloadFootprint!$F$70</definedName>
    <definedName name="Quantity_Tenant3_Standard_D13_v2" localSheetId="9">#REF!</definedName>
    <definedName name="Quantity_Tenant3_Standard_D13_v2">DefineByWorkloadFootprint!$F$80</definedName>
    <definedName name="Quantity_Tenant3_Standard_D14" localSheetId="9">#REF!</definedName>
    <definedName name="Quantity_Tenant3_Standard_D14">DefineByWorkloadFootprint!$F$71</definedName>
    <definedName name="Quantity_Tenant3_Standard_D14_v2" localSheetId="9">#REF!</definedName>
    <definedName name="Quantity_Tenant3_Standard_D14_v2">DefineByWorkloadFootprint!$F$81</definedName>
    <definedName name="Quantity_Tenant3_Standard_D16_V3">DefineByWorkloadFootprint!$F$64</definedName>
    <definedName name="Quantity_Tenant3_Standard_D2" localSheetId="9">#REF!</definedName>
    <definedName name="Quantity_Tenant3_Standard_D2">DefineByWorkloadFootprint!$F$33</definedName>
    <definedName name="Quantity_Tenant3_Standard_D2_v2" localSheetId="9">#REF!</definedName>
    <definedName name="Quantity_Tenant3_Standard_D2_v2">DefineByWorkloadFootprint!$F$43</definedName>
    <definedName name="Quantity_Tenant3_Standard_D2_V3">DefineByWorkloadFootprint!$F$61</definedName>
    <definedName name="Quantity_Tenant3_Standard_D3" localSheetId="9">#REF!</definedName>
    <definedName name="Quantity_Tenant3_Standard_D3">DefineByWorkloadFootprint!$F$34</definedName>
    <definedName name="Quantity_Tenant3_Standard_D3_v2" localSheetId="9">#REF!</definedName>
    <definedName name="Quantity_Tenant3_Standard_D3_v2">DefineByWorkloadFootprint!$F$44</definedName>
    <definedName name="Quantity_Tenant3_Standard_D32_V3">DefineByWorkloadFootprint!$F$65</definedName>
    <definedName name="Quantity_Tenant3_Standard_D4" localSheetId="9">#REF!</definedName>
    <definedName name="Quantity_Tenant3_Standard_D4">DefineByWorkloadFootprint!$F$35</definedName>
    <definedName name="Quantity_Tenant3_Standard_D4_v2" localSheetId="9">#REF!</definedName>
    <definedName name="Quantity_Tenant3_Standard_D4_v2">DefineByWorkloadFootprint!$F$45</definedName>
    <definedName name="Quantity_Tenant3_Standard_D4_V3">DefineByWorkloadFootprint!$F$62</definedName>
    <definedName name="Quantity_Tenant3_Standard_D48_V3">DefineByWorkloadFootprint!#REF!</definedName>
    <definedName name="Quantity_Tenant3_Standard_D5_v2" localSheetId="9">#REF!</definedName>
    <definedName name="Quantity_Tenant3_Standard_D5_v2">DefineByWorkloadFootprint!$F$46</definedName>
    <definedName name="Quantity_Tenant3_Standard_D64_V3">DefineByWorkloadFootprint!#REF!</definedName>
    <definedName name="Quantity_Tenant3_Standard_D8_V3">DefineByWorkloadFootprint!$F$63</definedName>
    <definedName name="Quantity_Tenant3_Standard_DS1" localSheetId="9">#REF!</definedName>
    <definedName name="Quantity_Tenant3_Standard_DS1">DefineByWorkloadFootprint!$F$37</definedName>
    <definedName name="Quantity_Tenant3_Standard_DS1_v2" localSheetId="9">#REF!</definedName>
    <definedName name="Quantity_Tenant3_Standard_DS1_v2">DefineByWorkloadFootprint!$F$48</definedName>
    <definedName name="Quantity_Tenant3_Standard_DS11" localSheetId="9">#REF!</definedName>
    <definedName name="Quantity_Tenant3_Standard_DS11">DefineByWorkloadFootprint!$F$73</definedName>
    <definedName name="Quantity_Tenant3_Standard_DS11_1_v2">DefineByWorkloadFootprint!$F$53</definedName>
    <definedName name="Quantity_Tenant3_Standard_DS11_v2" localSheetId="9">#REF!</definedName>
    <definedName name="Quantity_Tenant3_Standard_DS11_v2">DefineByWorkloadFootprint!$F$83</definedName>
    <definedName name="Quantity_Tenant3_Standard_DS12" localSheetId="9">#REF!</definedName>
    <definedName name="Quantity_Tenant3_Standard_DS12">DefineByWorkloadFootprint!$F$74</definedName>
    <definedName name="Quantity_Tenant3_Standard_DS12_1_v2">DefineByWorkloadFootprint!$F$54</definedName>
    <definedName name="Quantity_Tenant3_Standard_DS12_2_v2">DefineByWorkloadFootprint!$F$55</definedName>
    <definedName name="Quantity_Tenant3_Standard_DS12_v2" localSheetId="9">#REF!</definedName>
    <definedName name="Quantity_Tenant3_Standard_DS12_v2">DefineByWorkloadFootprint!$F$84</definedName>
    <definedName name="Quantity_Tenant3_Standard_DS13" localSheetId="9">#REF!</definedName>
    <definedName name="Quantity_Tenant3_Standard_DS13">DefineByWorkloadFootprint!$F$75</definedName>
    <definedName name="Quantity_Tenant3_Standard_DS13_2_v2">DefineByWorkloadFootprint!$F$57</definedName>
    <definedName name="Quantity_Tenant3_Standard_DS13_4_v2">DefineByWorkloadFootprint!$F$56</definedName>
    <definedName name="Quantity_Tenant3_Standard_DS13_v2" localSheetId="9">#REF!</definedName>
    <definedName name="Quantity_Tenant3_Standard_DS13_v2">DefineByWorkloadFootprint!$F$85</definedName>
    <definedName name="Quantity_Tenant3_Standard_DS14" localSheetId="9">#REF!</definedName>
    <definedName name="Quantity_Tenant3_Standard_DS14">DefineByWorkloadFootprint!$F$76</definedName>
    <definedName name="Quantity_Tenant3_Standard_DS14_4_v2">DefineByWorkloadFootprint!$F$59</definedName>
    <definedName name="Quantity_Tenant3_Standard_DS14_8_v2">DefineByWorkloadFootprint!$F$58</definedName>
    <definedName name="Quantity_Tenant3_Standard_DS14_v2" localSheetId="9">#REF!</definedName>
    <definedName name="Quantity_Tenant3_Standard_DS14_v2">DefineByWorkloadFootprint!$F$86</definedName>
    <definedName name="Quantity_Tenant3_Standard_DS2" localSheetId="9">#REF!</definedName>
    <definedName name="Quantity_Tenant3_Standard_DS2">DefineByWorkloadFootprint!$F$38</definedName>
    <definedName name="Quantity_Tenant3_Standard_DS2_v2" localSheetId="9">#REF!</definedName>
    <definedName name="Quantity_Tenant3_Standard_DS2_v2">DefineByWorkloadFootprint!$F$49</definedName>
    <definedName name="Quantity_Tenant3_Standard_DS3" localSheetId="9">#REF!</definedName>
    <definedName name="Quantity_Tenant3_Standard_DS3">DefineByWorkloadFootprint!$F$39</definedName>
    <definedName name="Quantity_Tenant3_Standard_DS3_v2" localSheetId="9">#REF!</definedName>
    <definedName name="Quantity_Tenant3_Standard_DS3_v2">DefineByWorkloadFootprint!$F$50</definedName>
    <definedName name="Quantity_Tenant3_Standard_DS4" localSheetId="9">#REF!</definedName>
    <definedName name="Quantity_Tenant3_Standard_DS4">DefineByWorkloadFootprint!$F$40</definedName>
    <definedName name="Quantity_Tenant3_Standard_DS4_v2" localSheetId="9">#REF!</definedName>
    <definedName name="Quantity_Tenant3_Standard_DS4_v2">DefineByWorkloadFootprint!$F$51</definedName>
    <definedName name="Quantity_Tenant3_Standard_DS5_v2" localSheetId="9">#REF!</definedName>
    <definedName name="Quantity_Tenant3_Standard_DS5_v2">DefineByWorkloadFootprint!$F$52</definedName>
    <definedName name="Quantity_Tenant3_Standard_E16_v3">DefineByWorkloadFootprint!$F$91</definedName>
    <definedName name="Quantity_Tenant3_Standard_E2_v3">DefineByWorkloadFootprint!$F$88</definedName>
    <definedName name="Quantity_Tenant3_Standard_E20_v3">DefineByWorkloadFootprint!$F$92</definedName>
    <definedName name="Quantity_Tenant3_Standard_E32_v3">DefineByWorkloadFootprint!#REF!</definedName>
    <definedName name="Quantity_Tenant3_Standard_E4_v3">DefineByWorkloadFootprint!$F$89</definedName>
    <definedName name="Quantity_Tenant3_Standard_E48_v3">DefineByWorkloadFootprint!#REF!</definedName>
    <definedName name="Quantity_Tenant3_Standard_E64_v3">DefineByWorkloadFootprint!#REF!</definedName>
    <definedName name="Quantity_Tenant3_Standard_E64i_v3">DefineByWorkloadFootprint!#REF!</definedName>
    <definedName name="Quantity_Tenant3_Standard_E8_v3">DefineByWorkloadFootprint!$F$90</definedName>
    <definedName name="Quantity_Tenant3_Standard_F1" localSheetId="9">#REF!</definedName>
    <definedName name="Quantity_Tenant3_Standard_F1">DefineByWorkloadFootprint!$F$95</definedName>
    <definedName name="Quantity_Tenant3_Standard_F16" localSheetId="9">#REF!</definedName>
    <definedName name="Quantity_Tenant3_Standard_F16">DefineByWorkloadFootprint!$F$99</definedName>
    <definedName name="Quantity_Tenant3_Standard_F16s" localSheetId="9">#REF!</definedName>
    <definedName name="Quantity_Tenant3_Standard_F16s">DefineByWorkloadFootprint!$F$105</definedName>
    <definedName name="Quantity_Tenant3_Standard_F16s_v2" localSheetId="9">#REF!</definedName>
    <definedName name="Quantity_Tenant3_Standard_F16s_v2">DefineByWorkloadFootprint!$F$110</definedName>
    <definedName name="Quantity_Tenant3_Standard_F1s" localSheetId="9">#REF!</definedName>
    <definedName name="Quantity_Tenant3_Standard_F1s">DefineByWorkloadFootprint!$F$101</definedName>
    <definedName name="Quantity_Tenant3_Standard_F2" localSheetId="9">#REF!</definedName>
    <definedName name="Quantity_Tenant3_Standard_F2">DefineByWorkloadFootprint!$F$96</definedName>
    <definedName name="Quantity_Tenant3_Standard_F2s" localSheetId="9">#REF!</definedName>
    <definedName name="Quantity_Tenant3_Standard_F2s">DefineByWorkloadFootprint!$F$102</definedName>
    <definedName name="Quantity_Tenant3_Standard_F2s_v2" localSheetId="9">#REF!</definedName>
    <definedName name="Quantity_Tenant3_Standard_F2s_v2">DefineByWorkloadFootprint!$F$107</definedName>
    <definedName name="Quantity_Tenant3_Standard_F32s_v2" localSheetId="9">#REF!</definedName>
    <definedName name="Quantity_Tenant3_Standard_F32s_v2">DefineByWorkloadFootprint!$F$111</definedName>
    <definedName name="Quantity_Tenant3_Standard_F4" localSheetId="9">#REF!</definedName>
    <definedName name="Quantity_Tenant3_Standard_F4">DefineByWorkloadFootprint!$F$97</definedName>
    <definedName name="Quantity_Tenant3_Standard_F4s" localSheetId="9">#REF!</definedName>
    <definedName name="Quantity_Tenant3_Standard_F4s">DefineByWorkloadFootprint!$F$103</definedName>
    <definedName name="Quantity_Tenant3_Standard_F4s_v2" localSheetId="9">#REF!</definedName>
    <definedName name="Quantity_Tenant3_Standard_F4s_v2">DefineByWorkloadFootprint!$F$108</definedName>
    <definedName name="Quantity_Tenant3_Standard_F64s_v2" localSheetId="9">#REF!</definedName>
    <definedName name="Quantity_Tenant3_Standard_F64s_v2">DefineByWorkloadFootprint!$F$112</definedName>
    <definedName name="Quantity_Tenant3_Standard_F8" localSheetId="9">#REF!</definedName>
    <definedName name="Quantity_Tenant3_Standard_F8">DefineByWorkloadFootprint!$F$98</definedName>
    <definedName name="Quantity_Tenant3_Standard_F8s" localSheetId="9">#REF!</definedName>
    <definedName name="Quantity_Tenant3_Standard_F8s">DefineByWorkloadFootprint!$F$104</definedName>
    <definedName name="Quantity_Tenant3_Standard_F8s_v2" localSheetId="9">#REF!</definedName>
    <definedName name="Quantity_Tenant3_Standard_F8s_v2">DefineByWorkloadFootprint!$F$109</definedName>
    <definedName name="Quantity_Tenant3_Standard_NC12s_v3">DefineByWorkloadFootprint!$F$115</definedName>
    <definedName name="Quantity_Tenant3_Standard_NC16as_T4_v3">DefineByWorkloadFootprint!$F$120</definedName>
    <definedName name="Quantity_Tenant3_Standard_NC24ads_A100_v4">DefineByWorkloadFootprint!$F$123</definedName>
    <definedName name="Quantity_Tenant3_Standard_NC24s_v3">DefineByWorkloadFootprint!$F$116</definedName>
    <definedName name="Quantity_Tenant3_Standard_NC48ads_A100_v4">DefineByWorkloadFootprint!$F$124</definedName>
    <definedName name="Quantity_Tenant3_Standard_NC4as_T4_v3">DefineByWorkloadFootprint!$F$118</definedName>
    <definedName name="Quantity_Tenant3_Standard_NC64as_T4_v3">DefineByWorkloadFootprint!$F$121</definedName>
    <definedName name="Quantity_Tenant3_Standard_NC6s_v3">DefineByWorkloadFootprint!$F$114</definedName>
    <definedName name="Quantity_Tenant3_Standard_NC8as_T4_v3">DefineByWorkloadFootprint!$F$119</definedName>
    <definedName name="Quantity_Tenant3_Standard_NV16as_v4">DefineByWorkloadFootprint!$F$128</definedName>
    <definedName name="Quantity_Tenant3_Standard_NV32as_v4">DefineByWorkloadFootprint!$F$129</definedName>
    <definedName name="Quantity_Tenant3_Standard_NV4as_v4">DefineByWorkloadFootprint!$F$126</definedName>
    <definedName name="Quantity_Tenant3_Standard_NV8as_v4">DefineByWorkloadFootprint!$F$127</definedName>
    <definedName name="Quantity_Tenant3_VM1">DefineByWorkloadFootprint!$H$205</definedName>
    <definedName name="Quantity_Tenant3_VM3">DefineByWorkloadFootprint!$O$205</definedName>
    <definedName name="Quantity_Tenant3_VM4">DefineByWorkloadFootprint!$T$204</definedName>
    <definedName name="Quantity_Tenant3_VM5">DefineByWorkloadFootprint!$X$204</definedName>
    <definedName name="Quantity_Tenant4_Basic_A0" localSheetId="9">#REF!</definedName>
    <definedName name="Quantity_Tenant4_Basic_A0">DefineByWorkloadFootprint!$G$9</definedName>
    <definedName name="Quantity_Tenant4_Basic_A1" localSheetId="9">#REF!</definedName>
    <definedName name="Quantity_Tenant4_Basic_A1">DefineByWorkloadFootprint!$G$10</definedName>
    <definedName name="Quantity_Tenant4_Basic_A2" localSheetId="9">#REF!</definedName>
    <definedName name="Quantity_Tenant4_Basic_A2">DefineByWorkloadFootprint!$G$11</definedName>
    <definedName name="Quantity_Tenant4_Basic_A3" localSheetId="9">#REF!</definedName>
    <definedName name="Quantity_Tenant4_Basic_A3">DefineByWorkloadFootprint!$G$12</definedName>
    <definedName name="Quantity_Tenant4_Basic_A3G44">DefineByWorkloadFootprint!$G$12</definedName>
    <definedName name="Quantity_Tenant4_Basic_A4" localSheetId="9">#REF!</definedName>
    <definedName name="Quantity_Tenant4_Basic_A4">DefineByWorkloadFootprint!$G$13</definedName>
    <definedName name="Quantity_Tenant4_Standard_A0" localSheetId="9">#REF!</definedName>
    <definedName name="Quantity_Tenant4_Standard_A0">DefineByWorkloadFootprint!$G$15</definedName>
    <definedName name="Quantity_Tenant4_Standard_A1" localSheetId="9">#REF!</definedName>
    <definedName name="Quantity_Tenant4_Standard_A1">DefineByWorkloadFootprint!$G$16</definedName>
    <definedName name="Quantity_Tenant4_Standard_A1_v2" localSheetId="9">#REF!</definedName>
    <definedName name="Quantity_Tenant4_Standard_A1_v2">DefineByWorkloadFootprint!$G$24</definedName>
    <definedName name="Quantity_Tenant4_Standard_A2" localSheetId="9">#REF!</definedName>
    <definedName name="Quantity_Tenant4_Standard_A2">DefineByWorkloadFootprint!$G$17</definedName>
    <definedName name="Quantity_Tenant4_Standard_A2_v2" localSheetId="9">#REF!</definedName>
    <definedName name="Quantity_Tenant4_Standard_A2_v2">DefineByWorkloadFootprint!$G$25</definedName>
    <definedName name="Quantity_Tenant4_Standard_A2m_v2" localSheetId="9">#REF!</definedName>
    <definedName name="Quantity_Tenant4_Standard_A2m_v2">DefineByWorkloadFootprint!$G$28</definedName>
    <definedName name="Quantity_Tenant4_Standard_A3" localSheetId="9">#REF!</definedName>
    <definedName name="Quantity_Tenant4_Standard_A3">DefineByWorkloadFootprint!$G$18</definedName>
    <definedName name="Quantity_Tenant4_Standard_A4" localSheetId="9">#REF!</definedName>
    <definedName name="Quantity_Tenant4_Standard_A4">DefineByWorkloadFootprint!$G$19</definedName>
    <definedName name="Quantity_Tenant4_Standard_A4_v2" localSheetId="9">#REF!</definedName>
    <definedName name="Quantity_Tenant4_Standard_A4_v2">DefineByWorkloadFootprint!$G$26</definedName>
    <definedName name="Quantity_Tenant4_Standard_A4m_v2" localSheetId="9">#REF!</definedName>
    <definedName name="Quantity_Tenant4_Standard_A4m_v2">DefineByWorkloadFootprint!$G$29</definedName>
    <definedName name="Quantity_Tenant4_Standard_A5" localSheetId="9">#REF!</definedName>
    <definedName name="Quantity_Tenant4_Standard_A5">DefineByWorkloadFootprint!$G$20</definedName>
    <definedName name="Quantity_Tenant4_Standard_A6" localSheetId="9">#REF!</definedName>
    <definedName name="Quantity_Tenant4_Standard_A6">DefineByWorkloadFootprint!$G$21</definedName>
    <definedName name="Quantity_Tenant4_Standard_A7" localSheetId="9">#REF!</definedName>
    <definedName name="Quantity_Tenant4_Standard_A7">DefineByWorkloadFootprint!$G$22</definedName>
    <definedName name="Quantity_Tenant4_Standard_A8_v2" localSheetId="9">#REF!</definedName>
    <definedName name="Quantity_Tenant4_Standard_A8_v2">DefineByWorkloadFootprint!$G$27</definedName>
    <definedName name="Quantity_Tenant4_Standard_A8m_v2" localSheetId="9">#REF!</definedName>
    <definedName name="Quantity_Tenant4_Standard_A8m_v2">DefineByWorkloadFootprint!$G$30</definedName>
    <definedName name="Quantity_Tenant4_Standard_D1" localSheetId="9">#REF!</definedName>
    <definedName name="Quantity_Tenant4_Standard_D1">DefineByWorkloadFootprint!$G$32</definedName>
    <definedName name="Quantity_Tenant4_Standard_D1_v2" localSheetId="9">#REF!</definedName>
    <definedName name="Quantity_Tenant4_Standard_D1_v2">DefineByWorkloadFootprint!$G$42</definedName>
    <definedName name="Quantity_Tenant4_Standard_D11" localSheetId="9">#REF!</definedName>
    <definedName name="Quantity_Tenant4_Standard_D11">DefineByWorkloadFootprint!$G$68</definedName>
    <definedName name="Quantity_Tenant4_Standard_D11_v2" localSheetId="9">#REF!</definedName>
    <definedName name="Quantity_Tenant4_Standard_D11_v2">DefineByWorkloadFootprint!$G$78</definedName>
    <definedName name="Quantity_Tenant4_Standard_D12" localSheetId="9">#REF!</definedName>
    <definedName name="Quantity_Tenant4_Standard_D12">DefineByWorkloadFootprint!$G$69</definedName>
    <definedName name="Quantity_Tenant4_Standard_D12_v2" localSheetId="9">#REF!</definedName>
    <definedName name="Quantity_Tenant4_Standard_D12_v2">DefineByWorkloadFootprint!$G$79</definedName>
    <definedName name="Quantity_Tenant4_Standard_D13" localSheetId="9">#REF!</definedName>
    <definedName name="Quantity_Tenant4_Standard_D13">DefineByWorkloadFootprint!$G$70</definedName>
    <definedName name="Quantity_Tenant4_Standard_D13_v2" localSheetId="9">#REF!</definedName>
    <definedName name="Quantity_Tenant4_Standard_D13_v2">DefineByWorkloadFootprint!$G$80</definedName>
    <definedName name="Quantity_Tenant4_Standard_D14" localSheetId="9">#REF!</definedName>
    <definedName name="Quantity_Tenant4_Standard_D14">DefineByWorkloadFootprint!$G$71</definedName>
    <definedName name="Quantity_Tenant4_Standard_D14_v2" localSheetId="9">#REF!</definedName>
    <definedName name="Quantity_Tenant4_Standard_D14_v2">DefineByWorkloadFootprint!$G$81</definedName>
    <definedName name="Quantity_Tenant4_Standard_D16_V3">DefineByWorkloadFootprint!$G$64</definedName>
    <definedName name="Quantity_Tenant4_Standard_D2" localSheetId="9">#REF!</definedName>
    <definedName name="Quantity_Tenant4_Standard_D2">DefineByWorkloadFootprint!$G$33</definedName>
    <definedName name="Quantity_Tenant4_Standard_D2_v2" localSheetId="9">#REF!</definedName>
    <definedName name="Quantity_Tenant4_Standard_D2_v2">DefineByWorkloadFootprint!$G$43</definedName>
    <definedName name="Quantity_Tenant4_Standard_D2_V3">DefineByWorkloadFootprint!$G$61</definedName>
    <definedName name="Quantity_Tenant4_Standard_D3" localSheetId="9">#REF!</definedName>
    <definedName name="Quantity_Tenant4_Standard_D3">DefineByWorkloadFootprint!$G$34</definedName>
    <definedName name="Quantity_Tenant4_Standard_D3_v2" localSheetId="9">#REF!</definedName>
    <definedName name="Quantity_Tenant4_Standard_D3_v2">DefineByWorkloadFootprint!$G$44</definedName>
    <definedName name="Quantity_Tenant4_Standard_D32_V3">DefineByWorkloadFootprint!$G$65</definedName>
    <definedName name="Quantity_Tenant4_Standard_D4" localSheetId="9">#REF!</definedName>
    <definedName name="Quantity_Tenant4_Standard_D4">DefineByWorkloadFootprint!$G$35</definedName>
    <definedName name="Quantity_Tenant4_Standard_D4_v2" localSheetId="9">#REF!</definedName>
    <definedName name="Quantity_Tenant4_Standard_D4_v2">DefineByWorkloadFootprint!$G$45</definedName>
    <definedName name="Quantity_Tenant4_Standard_D4_V3">DefineByWorkloadFootprint!$G$62</definedName>
    <definedName name="Quantity_Tenant4_Standard_D48_V3">DefineByWorkloadFootprint!#REF!</definedName>
    <definedName name="Quantity_Tenant4_Standard_D5_v2" localSheetId="9">#REF!</definedName>
    <definedName name="Quantity_Tenant4_Standard_D5_v2">DefineByWorkloadFootprint!$G$46</definedName>
    <definedName name="Quantity_Tenant4_Standard_D64_V3">DefineByWorkloadFootprint!#REF!</definedName>
    <definedName name="Quantity_Tenant4_Standard_D8_V3">DefineByWorkloadFootprint!$G$63</definedName>
    <definedName name="Quantity_Tenant4_Standard_DS1" localSheetId="9">#REF!</definedName>
    <definedName name="Quantity_Tenant4_Standard_DS1">DefineByWorkloadFootprint!$G$37</definedName>
    <definedName name="Quantity_Tenant4_Standard_DS1_v2" localSheetId="9">#REF!</definedName>
    <definedName name="Quantity_Tenant4_Standard_DS1_v2">DefineByWorkloadFootprint!$G$48</definedName>
    <definedName name="Quantity_Tenant4_Standard_DS11" localSheetId="9">#REF!</definedName>
    <definedName name="Quantity_Tenant4_Standard_DS11">DefineByWorkloadFootprint!$G$73</definedName>
    <definedName name="Quantity_Tenant4_Standard_DS11_1_v2">DefineByWorkloadFootprint!$G$53</definedName>
    <definedName name="Quantity_Tenant4_Standard_DS11_v2" localSheetId="9">#REF!</definedName>
    <definedName name="Quantity_Tenant4_Standard_DS11_v2">DefineByWorkloadFootprint!$G$83</definedName>
    <definedName name="Quantity_Tenant4_Standard_DS12" localSheetId="9">#REF!</definedName>
    <definedName name="Quantity_Tenant4_Standard_DS12">DefineByWorkloadFootprint!$G$74</definedName>
    <definedName name="Quantity_Tenant4_Standard_DS12_1_v2">DefineByWorkloadFootprint!$G$54</definedName>
    <definedName name="Quantity_Tenant4_Standard_DS12_2_v2">DefineByWorkloadFootprint!$G$55</definedName>
    <definedName name="Quantity_Tenant4_Standard_DS12_v2" localSheetId="9">#REF!</definedName>
    <definedName name="Quantity_Tenant4_Standard_DS12_v2">DefineByWorkloadFootprint!$G$84</definedName>
    <definedName name="Quantity_Tenant4_Standard_DS13" localSheetId="9">#REF!</definedName>
    <definedName name="Quantity_Tenant4_Standard_DS13">DefineByWorkloadFootprint!$G$75</definedName>
    <definedName name="Quantity_Tenant4_Standard_DS13_2_v2">DefineByWorkloadFootprint!$G$57</definedName>
    <definedName name="Quantity_Tenant4_Standard_DS13_4_v2">DefineByWorkloadFootprint!$G$56</definedName>
    <definedName name="Quantity_Tenant4_Standard_DS13_v2" localSheetId="9">#REF!</definedName>
    <definedName name="Quantity_Tenant4_Standard_DS13_v2">DefineByWorkloadFootprint!$G$85</definedName>
    <definedName name="Quantity_Tenant4_Standard_DS14" localSheetId="9">#REF!</definedName>
    <definedName name="Quantity_Tenant4_Standard_DS14">DefineByWorkloadFootprint!$G$76</definedName>
    <definedName name="Quantity_Tenant4_Standard_DS14_4_v2">DefineByWorkloadFootprint!$G$59</definedName>
    <definedName name="Quantity_Tenant4_Standard_DS14_8_v2">DefineByWorkloadFootprint!$G$58</definedName>
    <definedName name="Quantity_Tenant4_Standard_DS14_v2" localSheetId="9">#REF!</definedName>
    <definedName name="Quantity_Tenant4_Standard_DS14_v2">DefineByWorkloadFootprint!$G$86</definedName>
    <definedName name="Quantity_Tenant4_Standard_DS2" localSheetId="9">#REF!</definedName>
    <definedName name="Quantity_Tenant4_Standard_DS2">DefineByWorkloadFootprint!$G$38</definedName>
    <definedName name="Quantity_Tenant4_Standard_DS2_v2" localSheetId="9">#REF!</definedName>
    <definedName name="Quantity_Tenant4_Standard_DS2_v2">DefineByWorkloadFootprint!$G$49</definedName>
    <definedName name="Quantity_Tenant4_Standard_DS3" localSheetId="9">#REF!</definedName>
    <definedName name="Quantity_Tenant4_Standard_DS3">DefineByWorkloadFootprint!$G$39</definedName>
    <definedName name="Quantity_Tenant4_Standard_DS3_v2" localSheetId="9">#REF!</definedName>
    <definedName name="Quantity_Tenant4_Standard_DS3_v2">DefineByWorkloadFootprint!$G$50</definedName>
    <definedName name="Quantity_Tenant4_Standard_DS4" localSheetId="9">#REF!</definedName>
    <definedName name="Quantity_Tenant4_Standard_DS4">DefineByWorkloadFootprint!$G$40</definedName>
    <definedName name="Quantity_Tenant4_Standard_DS4_v2" localSheetId="9">#REF!</definedName>
    <definedName name="Quantity_Tenant4_Standard_DS4_v2">DefineByWorkloadFootprint!$G$51</definedName>
    <definedName name="Quantity_Tenant4_Standard_DS5_v2" localSheetId="9">#REF!</definedName>
    <definedName name="Quantity_Tenant4_Standard_DS5_v2">DefineByWorkloadFootprint!$G$52</definedName>
    <definedName name="Quantity_Tenant4_Standard_E16_v3">DefineByWorkloadFootprint!$G$91</definedName>
    <definedName name="Quantity_Tenant4_Standard_E2_v3">DefineByWorkloadFootprint!$G$88</definedName>
    <definedName name="Quantity_Tenant4_Standard_E20_v3">DefineByWorkloadFootprint!$G$92</definedName>
    <definedName name="Quantity_Tenant4_Standard_E32_v3">DefineByWorkloadFootprint!#REF!</definedName>
    <definedName name="Quantity_Tenant4_Standard_E4_v3">DefineByWorkloadFootprint!$G$89</definedName>
    <definedName name="Quantity_Tenant4_Standard_E48_v3">DefineByWorkloadFootprint!#REF!</definedName>
    <definedName name="Quantity_Tenant4_Standard_E64_v3">DefineByWorkloadFootprint!#REF!</definedName>
    <definedName name="Quantity_Tenant4_Standard_E64i_v3">DefineByWorkloadFootprint!#REF!</definedName>
    <definedName name="Quantity_Tenant4_Standard_E8_v3">DefineByWorkloadFootprint!$G$90</definedName>
    <definedName name="Quantity_Tenant4_Standard_F1" localSheetId="9">#REF!</definedName>
    <definedName name="Quantity_Tenant4_Standard_F1">DefineByWorkloadFootprint!$G$95</definedName>
    <definedName name="Quantity_Tenant4_Standard_F16" localSheetId="9">#REF!</definedName>
    <definedName name="Quantity_Tenant4_Standard_F16">DefineByWorkloadFootprint!$G$99</definedName>
    <definedName name="Quantity_Tenant4_Standard_F16s" localSheetId="9">#REF!</definedName>
    <definedName name="Quantity_Tenant4_Standard_F16s">DefineByWorkloadFootprint!$G$105</definedName>
    <definedName name="Quantity_Tenant4_Standard_F16s_v2" localSheetId="9">#REF!</definedName>
    <definedName name="Quantity_Tenant4_Standard_F16s_v2">DefineByWorkloadFootprint!$G$110</definedName>
    <definedName name="Quantity_Tenant4_Standard_F1s" localSheetId="9">#REF!</definedName>
    <definedName name="Quantity_Tenant4_Standard_F1s">DefineByWorkloadFootprint!$G$101</definedName>
    <definedName name="Quantity_Tenant4_Standard_F2" localSheetId="9">#REF!</definedName>
    <definedName name="Quantity_Tenant4_Standard_F2">DefineByWorkloadFootprint!$G$96</definedName>
    <definedName name="Quantity_Tenant4_Standard_F2s" localSheetId="9">#REF!</definedName>
    <definedName name="Quantity_Tenant4_Standard_F2s">DefineByWorkloadFootprint!$G$102</definedName>
    <definedName name="Quantity_Tenant4_Standard_F2s_v2" localSheetId="9">#REF!</definedName>
    <definedName name="Quantity_Tenant4_Standard_F2s_v2">DefineByWorkloadFootprint!$G$107</definedName>
    <definedName name="Quantity_Tenant4_Standard_F32s_v2" localSheetId="9">#REF!</definedName>
    <definedName name="Quantity_Tenant4_Standard_F32s_v2">DefineByWorkloadFootprint!$G$111</definedName>
    <definedName name="Quantity_Tenant4_Standard_F4" localSheetId="9">#REF!</definedName>
    <definedName name="Quantity_Tenant4_Standard_F4">DefineByWorkloadFootprint!$G$97</definedName>
    <definedName name="Quantity_Tenant4_Standard_F4s" localSheetId="9">#REF!</definedName>
    <definedName name="Quantity_Tenant4_Standard_F4s">DefineByWorkloadFootprint!$G$103</definedName>
    <definedName name="Quantity_Tenant4_Standard_F4s_v2" localSheetId="9">#REF!</definedName>
    <definedName name="Quantity_Tenant4_Standard_F4s_v2">DefineByWorkloadFootprint!$G$108</definedName>
    <definedName name="Quantity_Tenant4_Standard_F64s_v2" localSheetId="9">#REF!</definedName>
    <definedName name="Quantity_Tenant4_Standard_F64s_v2">DefineByWorkloadFootprint!$G$112</definedName>
    <definedName name="Quantity_Tenant4_Standard_F8" localSheetId="9">#REF!</definedName>
    <definedName name="Quantity_Tenant4_Standard_F8">DefineByWorkloadFootprint!$G$98</definedName>
    <definedName name="Quantity_Tenant4_Standard_F8s" localSheetId="9">#REF!</definedName>
    <definedName name="Quantity_Tenant4_Standard_F8s">DefineByWorkloadFootprint!$G$104</definedName>
    <definedName name="Quantity_Tenant4_Standard_F8s_v2" localSheetId="9">#REF!</definedName>
    <definedName name="Quantity_Tenant4_Standard_F8s_v2">DefineByWorkloadFootprint!$G$109</definedName>
    <definedName name="Quantity_Tenant4_Standard_NC12s_v3">DefineByWorkloadFootprint!$G$115</definedName>
    <definedName name="Quantity_Tenant4_Standard_NC16as_T4_v3">DefineByWorkloadFootprint!$G$120</definedName>
    <definedName name="Quantity_Tenant4_Standard_NC24ads_A100_v4">DefineByWorkloadFootprint!$G$123</definedName>
    <definedName name="Quantity_Tenant4_Standard_NC24s_v3">DefineByWorkloadFootprint!$G$116</definedName>
    <definedName name="Quantity_Tenant4_Standard_NC48ads_A100_v4">DefineByWorkloadFootprint!$G$124</definedName>
    <definedName name="Quantity_Tenant4_Standard_NC4as_T4_v3">DefineByWorkloadFootprint!$G$118</definedName>
    <definedName name="Quantity_Tenant4_Standard_NC64as_T4_v3">DefineByWorkloadFootprint!$G$121</definedName>
    <definedName name="Quantity_Tenant4_Standard_NC6s_v3">DefineByWorkloadFootprint!$G$114</definedName>
    <definedName name="Quantity_Tenant4_Standard_NC8as_T4_v3">DefineByWorkloadFootprint!$G$119</definedName>
    <definedName name="Quantity_Tenant4_Standard_NV16as_v4">DefineByWorkloadFootprint!$G$128</definedName>
    <definedName name="Quantity_Tenant4_Standard_NV32as_v4">DefineByWorkloadFootprint!$G$129</definedName>
    <definedName name="Quantity_Tenant4_Standard_NV4as_v4">DefineByWorkloadFootprint!$G$126</definedName>
    <definedName name="Quantity_Tenant4_Standard_NV8as_v4">DefineByWorkloadFootprint!$G$127</definedName>
    <definedName name="Quantity_Tenant4_VM1">DefineByWorkloadFootprint!$H$201</definedName>
    <definedName name="Quantity_Tenant4_VM3">DefineByWorkloadFootprint!$O$201</definedName>
    <definedName name="Quantity_Tenant4_VM4">DefineByWorkloadFootprint!$T$205</definedName>
    <definedName name="Quantity_Tenant4_VM5">DefineByWorkloadFootprint!$X$205</definedName>
    <definedName name="Quantity_Tenant5_Basic_A0" localSheetId="9">#REF!</definedName>
    <definedName name="Quantity_Tenant5_Basic_A0">DefineByWorkloadFootprint!$H$9</definedName>
    <definedName name="Quantity_Tenant5_Basic_A1" localSheetId="9">#REF!</definedName>
    <definedName name="Quantity_Tenant5_Basic_A1">DefineByWorkloadFootprint!$H$10</definedName>
    <definedName name="Quantity_Tenant5_Basic_A2" localSheetId="9">#REF!</definedName>
    <definedName name="Quantity_Tenant5_Basic_A2">DefineByWorkloadFootprint!$H$11</definedName>
    <definedName name="Quantity_Tenant5_Basic_A3" localSheetId="9">#REF!</definedName>
    <definedName name="Quantity_Tenant5_Basic_A3">DefineByWorkloadFootprint!$H$12</definedName>
    <definedName name="Quantity_Tenant5_Basic_A4" localSheetId="9">#REF!</definedName>
    <definedName name="Quantity_Tenant5_Basic_A4">DefineByWorkloadFootprint!$H$13</definedName>
    <definedName name="Quantity_Tenant5_Standard_A0" localSheetId="9">#REF!</definedName>
    <definedName name="Quantity_Tenant5_Standard_A0">DefineByWorkloadFootprint!$H$15</definedName>
    <definedName name="Quantity_Tenant5_Standard_A1" localSheetId="9">#REF!</definedName>
    <definedName name="Quantity_Tenant5_Standard_A1">DefineByWorkloadFootprint!$H$16</definedName>
    <definedName name="Quantity_Tenant5_Standard_A1_v2" localSheetId="9">#REF!</definedName>
    <definedName name="Quantity_Tenant5_Standard_A1_v2">DefineByWorkloadFootprint!$H$24</definedName>
    <definedName name="Quantity_Tenant5_Standard_A2" localSheetId="9">#REF!</definedName>
    <definedName name="Quantity_Tenant5_Standard_A2">DefineByWorkloadFootprint!$H$17</definedName>
    <definedName name="Quantity_Tenant5_Standard_A2_v2" localSheetId="9">#REF!</definedName>
    <definedName name="Quantity_Tenant5_Standard_A2_v2">DefineByWorkloadFootprint!$H$25</definedName>
    <definedName name="Quantity_Tenant5_Standard_A2m_v2" localSheetId="9">#REF!</definedName>
    <definedName name="Quantity_Tenant5_Standard_A2m_v2">DefineByWorkloadFootprint!$H$28</definedName>
    <definedName name="Quantity_Tenant5_Standard_A3" localSheetId="9">#REF!</definedName>
    <definedName name="Quantity_Tenant5_Standard_A3">DefineByWorkloadFootprint!$H$18</definedName>
    <definedName name="Quantity_Tenant5_Standard_A4" localSheetId="9">#REF!</definedName>
    <definedName name="Quantity_Tenant5_Standard_A4">DefineByWorkloadFootprint!$H$19</definedName>
    <definedName name="Quantity_Tenant5_Standard_A4_v2" localSheetId="9">#REF!</definedName>
    <definedName name="Quantity_Tenant5_Standard_A4_v2">DefineByWorkloadFootprint!$H$26</definedName>
    <definedName name="Quantity_Tenant5_Standard_A4m_v2" localSheetId="9">#REF!</definedName>
    <definedName name="Quantity_Tenant5_Standard_A4m_v2">DefineByWorkloadFootprint!$H$29</definedName>
    <definedName name="Quantity_Tenant5_Standard_A5" localSheetId="9">#REF!</definedName>
    <definedName name="Quantity_Tenant5_Standard_A5">DefineByWorkloadFootprint!$H$20</definedName>
    <definedName name="Quantity_Tenant5_Standard_A6" localSheetId="9">#REF!</definedName>
    <definedName name="Quantity_Tenant5_Standard_A6">DefineByWorkloadFootprint!$H$21</definedName>
    <definedName name="Quantity_Tenant5_Standard_A7" localSheetId="9">#REF!</definedName>
    <definedName name="Quantity_Tenant5_Standard_A7">DefineByWorkloadFootprint!$H$22</definedName>
    <definedName name="Quantity_Tenant5_Standard_A8_v2" localSheetId="9">#REF!</definedName>
    <definedName name="Quantity_Tenant5_Standard_A8_v2">DefineByWorkloadFootprint!$H$27</definedName>
    <definedName name="Quantity_Tenant5_Standard_A8m_v2" localSheetId="9">#REF!</definedName>
    <definedName name="Quantity_Tenant5_Standard_A8m_v2">DefineByWorkloadFootprint!$H$30</definedName>
    <definedName name="Quantity_Tenant5_Standard_D1" localSheetId="9">#REF!</definedName>
    <definedName name="Quantity_Tenant5_Standard_D1">DefineByWorkloadFootprint!$H$32</definedName>
    <definedName name="Quantity_Tenant5_Standard_D1_v2" localSheetId="9">#REF!</definedName>
    <definedName name="Quantity_Tenant5_Standard_D1_v2">DefineByWorkloadFootprint!$H$42</definedName>
    <definedName name="Quantity_Tenant5_Standard_D11" localSheetId="9">#REF!</definedName>
    <definedName name="Quantity_Tenant5_Standard_D11">DefineByWorkloadFootprint!$H$68</definedName>
    <definedName name="Quantity_Tenant5_Standard_D11_v2" localSheetId="9">#REF!</definedName>
    <definedName name="Quantity_Tenant5_Standard_D11_v2">DefineByWorkloadFootprint!$H$78</definedName>
    <definedName name="Quantity_Tenant5_Standard_D12" localSheetId="9">#REF!</definedName>
    <definedName name="Quantity_Tenant5_Standard_D12">DefineByWorkloadFootprint!$H$69</definedName>
    <definedName name="Quantity_Tenant5_Standard_D12_v2" localSheetId="9">#REF!</definedName>
    <definedName name="Quantity_Tenant5_Standard_D12_v2">DefineByWorkloadFootprint!$H$79</definedName>
    <definedName name="Quantity_Tenant5_Standard_D13" localSheetId="9">#REF!</definedName>
    <definedName name="Quantity_Tenant5_Standard_D13">DefineByWorkloadFootprint!$H$70</definedName>
    <definedName name="Quantity_Tenant5_Standard_D13_v2" localSheetId="9">#REF!</definedName>
    <definedName name="Quantity_Tenant5_Standard_D13_v2">DefineByWorkloadFootprint!$H$80</definedName>
    <definedName name="Quantity_Tenant5_Standard_D14" localSheetId="9">#REF!</definedName>
    <definedName name="Quantity_Tenant5_Standard_D14">DefineByWorkloadFootprint!$H$71</definedName>
    <definedName name="Quantity_Tenant5_Standard_D14_v2" localSheetId="9">#REF!</definedName>
    <definedName name="Quantity_Tenant5_Standard_D14_v2">DefineByWorkloadFootprint!$H$81</definedName>
    <definedName name="Quantity_Tenant5_Standard_D16_V3">DefineByWorkloadFootprint!$H$64</definedName>
    <definedName name="Quantity_Tenant5_Standard_D2" localSheetId="9">#REF!</definedName>
    <definedName name="Quantity_Tenant5_Standard_D2">DefineByWorkloadFootprint!$H$33</definedName>
    <definedName name="Quantity_Tenant5_Standard_D2_v2" localSheetId="9">#REF!</definedName>
    <definedName name="Quantity_Tenant5_Standard_D2_v2">DefineByWorkloadFootprint!$H$43</definedName>
    <definedName name="Quantity_Tenant5_Standard_D2_V3">DefineByWorkloadFootprint!$H$61</definedName>
    <definedName name="Quantity_Tenant5_Standard_D3" localSheetId="9">#REF!</definedName>
    <definedName name="Quantity_Tenant5_Standard_D3">DefineByWorkloadFootprint!$H$34</definedName>
    <definedName name="Quantity_Tenant5_Standard_D3_v2" localSheetId="9">#REF!</definedName>
    <definedName name="Quantity_Tenant5_Standard_D3_v2">DefineByWorkloadFootprint!$H$44</definedName>
    <definedName name="Quantity_Tenant5_Standard_D32_V3">DefineByWorkloadFootprint!$H$65</definedName>
    <definedName name="Quantity_Tenant5_Standard_D4" localSheetId="9">#REF!</definedName>
    <definedName name="Quantity_Tenant5_Standard_D4">DefineByWorkloadFootprint!$H$35</definedName>
    <definedName name="Quantity_Tenant5_Standard_D4_v2" localSheetId="9">#REF!</definedName>
    <definedName name="Quantity_Tenant5_Standard_D4_v2">DefineByWorkloadFootprint!$H$45</definedName>
    <definedName name="Quantity_Tenant5_Standard_D4_V3">DefineByWorkloadFootprint!$H$62</definedName>
    <definedName name="Quantity_Tenant5_Standard_D48_V3">DefineByWorkloadFootprint!#REF!</definedName>
    <definedName name="Quantity_Tenant5_Standard_D5_v2" localSheetId="9">#REF!</definedName>
    <definedName name="Quantity_Tenant5_Standard_D5_v2">DefineByWorkloadFootprint!$H$46</definedName>
    <definedName name="Quantity_Tenant5_Standard_D64_V3">DefineByWorkloadFootprint!#REF!</definedName>
    <definedName name="Quantity_Tenant5_Standard_D8_V3">DefineByWorkloadFootprint!$H$63</definedName>
    <definedName name="Quantity_Tenant5_Standard_DS1" localSheetId="9">#REF!</definedName>
    <definedName name="Quantity_Tenant5_Standard_DS1">DefineByWorkloadFootprint!$H$37</definedName>
    <definedName name="Quantity_Tenant5_Standard_DS1_v2" localSheetId="9">#REF!</definedName>
    <definedName name="Quantity_Tenant5_Standard_DS1_v2">DefineByWorkloadFootprint!$H$48</definedName>
    <definedName name="Quantity_Tenant5_Standard_DS11" localSheetId="9">#REF!</definedName>
    <definedName name="Quantity_Tenant5_Standard_DS11">DefineByWorkloadFootprint!$H$73</definedName>
    <definedName name="Quantity_Tenant5_Standard_DS11_1_v2">DefineByWorkloadFootprint!$H$53</definedName>
    <definedName name="Quantity_Tenant5_Standard_DS11_v2" localSheetId="9">#REF!</definedName>
    <definedName name="Quantity_Tenant5_Standard_DS11_v2">DefineByWorkloadFootprint!$H$83</definedName>
    <definedName name="Quantity_Tenant5_Standard_DS12" localSheetId="9">#REF!</definedName>
    <definedName name="Quantity_Tenant5_Standard_DS12">DefineByWorkloadFootprint!$H$74</definedName>
    <definedName name="Quantity_Tenant5_Standard_DS12_1_v2">DefineByWorkloadFootprint!$H$54</definedName>
    <definedName name="Quantity_Tenant5_Standard_DS12_2_v2">DefineByWorkloadFootprint!$H$55</definedName>
    <definedName name="Quantity_Tenant5_Standard_DS12_v2" localSheetId="9">#REF!</definedName>
    <definedName name="Quantity_Tenant5_Standard_DS12_v2">DefineByWorkloadFootprint!$H$84</definedName>
    <definedName name="Quantity_Tenant5_Standard_DS13" localSheetId="9">#REF!</definedName>
    <definedName name="Quantity_Tenant5_Standard_DS13">DefineByWorkloadFootprint!$H$75</definedName>
    <definedName name="Quantity_Tenant5_Standard_DS13_2_v2">DefineByWorkloadFootprint!$H$57</definedName>
    <definedName name="Quantity_Tenant5_Standard_DS13_4_v2">DefineByWorkloadFootprint!$H$56</definedName>
    <definedName name="Quantity_Tenant5_Standard_DS13_v2" localSheetId="9">#REF!</definedName>
    <definedName name="Quantity_Tenant5_Standard_DS13_v2">DefineByWorkloadFootprint!$H$85</definedName>
    <definedName name="Quantity_Tenant5_Standard_DS14" localSheetId="9">#REF!</definedName>
    <definedName name="Quantity_Tenant5_Standard_DS14">DefineByWorkloadFootprint!$H$76</definedName>
    <definedName name="Quantity_Tenant5_Standard_DS14_4_v2">DefineByWorkloadFootprint!$H$59</definedName>
    <definedName name="Quantity_Tenant5_Standard_DS14_8_v2">DefineByWorkloadFootprint!$H$58</definedName>
    <definedName name="Quantity_Tenant5_Standard_DS14_v2" localSheetId="9">#REF!</definedName>
    <definedName name="Quantity_Tenant5_Standard_DS14_v2">DefineByWorkloadFootprint!$H$86</definedName>
    <definedName name="Quantity_Tenant5_Standard_DS2" localSheetId="9">#REF!</definedName>
    <definedName name="Quantity_Tenant5_Standard_DS2">DefineByWorkloadFootprint!$H$38</definedName>
    <definedName name="Quantity_Tenant5_Standard_DS2_v2" localSheetId="9">#REF!</definedName>
    <definedName name="Quantity_Tenant5_Standard_DS2_v2">DefineByWorkloadFootprint!$H$49</definedName>
    <definedName name="Quantity_Tenant5_Standard_DS3" localSheetId="9">#REF!</definedName>
    <definedName name="Quantity_Tenant5_Standard_DS3">DefineByWorkloadFootprint!$H$39</definedName>
    <definedName name="Quantity_Tenant5_Standard_DS3_v2" localSheetId="9">#REF!</definedName>
    <definedName name="Quantity_Tenant5_Standard_DS3_v2">DefineByWorkloadFootprint!$H$50</definedName>
    <definedName name="Quantity_Tenant5_Standard_DS4" localSheetId="9">#REF!</definedName>
    <definedName name="Quantity_Tenant5_Standard_DS4">DefineByWorkloadFootprint!$H$40</definedName>
    <definedName name="Quantity_Tenant5_Standard_DS4_v2" localSheetId="9">#REF!</definedName>
    <definedName name="Quantity_Tenant5_Standard_DS4_v2">DefineByWorkloadFootprint!$H$51</definedName>
    <definedName name="Quantity_Tenant5_Standard_DS5_v2" localSheetId="9">#REF!</definedName>
    <definedName name="Quantity_Tenant5_Standard_DS5_v2">DefineByWorkloadFootprint!$H$52</definedName>
    <definedName name="Quantity_Tenant5_Standard_E16_v3">DefineByWorkloadFootprint!$H$91</definedName>
    <definedName name="Quantity_Tenant5_Standard_E2_v3">DefineByWorkloadFootprint!$H$88</definedName>
    <definedName name="Quantity_Tenant5_Standard_E20_v3">DefineByWorkloadFootprint!$H$92</definedName>
    <definedName name="Quantity_Tenant5_Standard_E32_v3">DefineByWorkloadFootprint!#REF!</definedName>
    <definedName name="Quantity_Tenant5_Standard_E4_v3">DefineByWorkloadFootprint!$H$89</definedName>
    <definedName name="Quantity_Tenant5_Standard_E48_v3">DefineByWorkloadFootprint!#REF!</definedName>
    <definedName name="Quantity_Tenant5_Standard_E64_v3">DefineByWorkloadFootprint!#REF!</definedName>
    <definedName name="Quantity_Tenant5_Standard_E64i_v3">DefineByWorkloadFootprint!#REF!</definedName>
    <definedName name="Quantity_Tenant5_Standard_E8_v3">DefineByWorkloadFootprint!$H$90</definedName>
    <definedName name="Quantity_Tenant5_Standard_F1" localSheetId="9">#REF!</definedName>
    <definedName name="Quantity_Tenant5_Standard_F1">DefineByWorkloadFootprint!$H$95</definedName>
    <definedName name="Quantity_Tenant5_Standard_F16" localSheetId="9">#REF!</definedName>
    <definedName name="Quantity_Tenant5_Standard_F16">DefineByWorkloadFootprint!$H$99</definedName>
    <definedName name="Quantity_Tenant5_Standard_F16s" localSheetId="9">#REF!</definedName>
    <definedName name="Quantity_Tenant5_Standard_F16s">DefineByWorkloadFootprint!$H$105</definedName>
    <definedName name="Quantity_Tenant5_Standard_F16s_v2" localSheetId="9">#REF!</definedName>
    <definedName name="Quantity_Tenant5_Standard_F16s_v2">DefineByWorkloadFootprint!$H$110</definedName>
    <definedName name="Quantity_Tenant5_Standard_F1s" localSheetId="9">#REF!</definedName>
    <definedName name="Quantity_Tenant5_Standard_F1s">DefineByWorkloadFootprint!$H$101</definedName>
    <definedName name="Quantity_Tenant5_Standard_F2" localSheetId="9">#REF!</definedName>
    <definedName name="Quantity_Tenant5_Standard_F2">DefineByWorkloadFootprint!$H$96</definedName>
    <definedName name="Quantity_Tenant5_Standard_F2s" localSheetId="9">#REF!</definedName>
    <definedName name="Quantity_Tenant5_Standard_F2s">DefineByWorkloadFootprint!$H$102</definedName>
    <definedName name="Quantity_Tenant5_Standard_F2s_v2" localSheetId="9">#REF!</definedName>
    <definedName name="Quantity_Tenant5_Standard_F2s_v2">DefineByWorkloadFootprint!$H$107</definedName>
    <definedName name="Quantity_Tenant5_Standard_F32s_v2" localSheetId="9">#REF!</definedName>
    <definedName name="Quantity_Tenant5_Standard_F32s_v2">DefineByWorkloadFootprint!$H$111</definedName>
    <definedName name="Quantity_Tenant5_Standard_F4" localSheetId="9">#REF!</definedName>
    <definedName name="Quantity_Tenant5_Standard_F4">DefineByWorkloadFootprint!$H$97</definedName>
    <definedName name="Quantity_Tenant5_Standard_F4s" localSheetId="9">#REF!</definedName>
    <definedName name="Quantity_Tenant5_Standard_F4s">DefineByWorkloadFootprint!$H$103</definedName>
    <definedName name="Quantity_Tenant5_Standard_F4s_v2" localSheetId="9">#REF!</definedName>
    <definedName name="Quantity_Tenant5_Standard_F4s_v2">DefineByWorkloadFootprint!$H$108</definedName>
    <definedName name="Quantity_Tenant5_Standard_F64s_v2" localSheetId="9">#REF!</definedName>
    <definedName name="Quantity_Tenant5_Standard_F64s_v2">DefineByWorkloadFootprint!$H$112</definedName>
    <definedName name="Quantity_Tenant5_Standard_F8" localSheetId="9">#REF!</definedName>
    <definedName name="Quantity_Tenant5_Standard_F8">DefineByWorkloadFootprint!$H$98</definedName>
    <definedName name="Quantity_Tenant5_Standard_F8s" localSheetId="9">#REF!</definedName>
    <definedName name="Quantity_Tenant5_Standard_F8s">DefineByWorkloadFootprint!$H$104</definedName>
    <definedName name="Quantity_Tenant5_Standard_F8s_v2" localSheetId="9">#REF!</definedName>
    <definedName name="Quantity_Tenant5_Standard_F8s_v2">DefineByWorkloadFootprint!$H$109</definedName>
    <definedName name="Quantity_Tenant5_Standard_NC12s_v3">DefineByWorkloadFootprint!$H$115</definedName>
    <definedName name="Quantity_Tenant5_Standard_NC16as_T4_v3">DefineByWorkloadFootprint!$H$120</definedName>
    <definedName name="Quantity_Tenant5_Standard_NC24ads_A100_v4">DefineByWorkloadFootprint!$H$123</definedName>
    <definedName name="Quantity_Tenant5_Standard_NC24s_v3">DefineByWorkloadFootprint!$H$116</definedName>
    <definedName name="Quantity_Tenant5_Standard_NC48ads_A100_v4">DefineByWorkloadFootprint!$H$124</definedName>
    <definedName name="Quantity_Tenant5_Standard_NC4as_T4_v3">DefineByWorkloadFootprint!$H$118</definedName>
    <definedName name="Quantity_Tenant5_Standard_NC64as_T4_v3">DefineByWorkloadFootprint!$H$121</definedName>
    <definedName name="Quantity_Tenant5_Standard_NC6s_v3">DefineByWorkloadFootprint!$H$114</definedName>
    <definedName name="Quantity_Tenant5_Standard_NC8as_T4_v3">DefineByWorkloadFootprint!$H$119</definedName>
    <definedName name="Quantity_Tenant5_Standard_NV16as_v4">DefineByWorkloadFootprint!$H$128</definedName>
    <definedName name="Quantity_Tenant5_Standard_NV32as_v4">DefineByWorkloadFootprint!$H$129</definedName>
    <definedName name="Quantity_Tenant5_Standard_NV4as_v4">DefineByWorkloadFootprint!$H$126</definedName>
    <definedName name="Quantity_Tenant5_Standard_NV8as_v4">DefineByWorkloadFootprint!$H$127</definedName>
    <definedName name="Quantity_Tenant5_VM1">DefineByWorkloadFootprint!$H$206</definedName>
    <definedName name="Quantity_Tenant5_VM3">DefineByWorkloadFootprint!$O$206</definedName>
    <definedName name="Quantity_Tenant5_VM4">DefineByWorkloadFootprint!$T$206</definedName>
    <definedName name="Quantity_Tenant5_VM5">DefineByWorkloadFootprint!$X$206</definedName>
    <definedName name="Quantity_Tenant51_Standard_NC64as_T4_v3">DefineByWorkloadFootprint!$H$121</definedName>
    <definedName name="Quantity_Tenant6_Basic_A0" localSheetId="9">#REF!</definedName>
    <definedName name="Quantity_Tenant6_Basic_A0">DefineByWorkloadFootprint!$I$9</definedName>
    <definedName name="Quantity_Tenant6_Basic_A1" localSheetId="9">#REF!</definedName>
    <definedName name="Quantity_Tenant6_Basic_A1">DefineByWorkloadFootprint!$I$10</definedName>
    <definedName name="Quantity_Tenant6_Basic_A2" localSheetId="9">#REF!</definedName>
    <definedName name="Quantity_Tenant6_Basic_A2">DefineByWorkloadFootprint!$I$11</definedName>
    <definedName name="Quantity_Tenant6_Basic_A3" localSheetId="9">#REF!</definedName>
    <definedName name="Quantity_Tenant6_Basic_A3">DefineByWorkloadFootprint!$I$12</definedName>
    <definedName name="Quantity_Tenant6_Basic_A4" localSheetId="9">#REF!</definedName>
    <definedName name="Quantity_Tenant6_Basic_A4">DefineByWorkloadFootprint!$I$13</definedName>
    <definedName name="Quantity_Tenant6_Standard_A0" localSheetId="9">#REF!</definedName>
    <definedName name="Quantity_Tenant6_Standard_A0">DefineByWorkloadFootprint!$I$15</definedName>
    <definedName name="Quantity_Tenant6_Standard_A1" localSheetId="9">#REF!</definedName>
    <definedName name="Quantity_Tenant6_Standard_A1">DefineByWorkloadFootprint!$I$16</definedName>
    <definedName name="Quantity_Tenant6_Standard_A1_v2" localSheetId="9">#REF!</definedName>
    <definedName name="Quantity_Tenant6_Standard_A1_v2">DefineByWorkloadFootprint!$I$24</definedName>
    <definedName name="Quantity_Tenant6_Standard_A2" localSheetId="9">#REF!</definedName>
    <definedName name="Quantity_Tenant6_Standard_A2">DefineByWorkloadFootprint!$I$17</definedName>
    <definedName name="Quantity_Tenant6_Standard_A2_v2" localSheetId="9">#REF!</definedName>
    <definedName name="Quantity_Tenant6_Standard_A2_v2">DefineByWorkloadFootprint!$I$25</definedName>
    <definedName name="Quantity_Tenant6_Standard_A2m_v2" localSheetId="9">#REF!</definedName>
    <definedName name="Quantity_Tenant6_Standard_A2m_v2">DefineByWorkloadFootprint!$I$28</definedName>
    <definedName name="Quantity_Tenant6_Standard_A3" localSheetId="9">#REF!</definedName>
    <definedName name="Quantity_Tenant6_Standard_A3">DefineByWorkloadFootprint!$I$18</definedName>
    <definedName name="Quantity_Tenant6_Standard_A4" localSheetId="9">#REF!</definedName>
    <definedName name="Quantity_Tenant6_Standard_A4">DefineByWorkloadFootprint!$I$19</definedName>
    <definedName name="Quantity_Tenant6_Standard_A4_v2" localSheetId="9">#REF!</definedName>
    <definedName name="Quantity_Tenant6_Standard_A4_v2">DefineByWorkloadFootprint!$I$26</definedName>
    <definedName name="Quantity_Tenant6_Standard_A4m_v2" localSheetId="9">#REF!</definedName>
    <definedName name="Quantity_Tenant6_Standard_A4m_v2">DefineByWorkloadFootprint!$I$29</definedName>
    <definedName name="Quantity_Tenant6_Standard_A5" localSheetId="9">#REF!</definedName>
    <definedName name="Quantity_Tenant6_Standard_A5">DefineByWorkloadFootprint!$I$20</definedName>
    <definedName name="Quantity_Tenant6_Standard_A6" localSheetId="9">#REF!</definedName>
    <definedName name="Quantity_Tenant6_Standard_A6">DefineByWorkloadFootprint!$I$21</definedName>
    <definedName name="Quantity_Tenant6_Standard_A7" localSheetId="9">#REF!</definedName>
    <definedName name="Quantity_Tenant6_Standard_A7">DefineByWorkloadFootprint!$I$22</definedName>
    <definedName name="Quantity_Tenant6_Standard_A8_v2" localSheetId="9">#REF!</definedName>
    <definedName name="Quantity_Tenant6_Standard_A8_v2">DefineByWorkloadFootprint!$I$27</definedName>
    <definedName name="Quantity_Tenant6_Standard_A8m_v2" localSheetId="9">#REF!</definedName>
    <definedName name="Quantity_Tenant6_Standard_A8m_v2">DefineByWorkloadFootprint!$I$30</definedName>
    <definedName name="Quantity_Tenant6_Standard_D1" localSheetId="9">#REF!</definedName>
    <definedName name="Quantity_Tenant6_Standard_D1">DefineByWorkloadFootprint!$I$32</definedName>
    <definedName name="Quantity_Tenant6_Standard_D1_v2" localSheetId="9">#REF!</definedName>
    <definedName name="Quantity_Tenant6_Standard_D1_v2">DefineByWorkloadFootprint!$I$42</definedName>
    <definedName name="Quantity_Tenant6_Standard_D11" localSheetId="9">#REF!</definedName>
    <definedName name="Quantity_Tenant6_Standard_D11">DefineByWorkloadFootprint!$I$68</definedName>
    <definedName name="Quantity_Tenant6_Standard_D11_v2" localSheetId="9">#REF!</definedName>
    <definedName name="Quantity_Tenant6_Standard_D11_v2">DefineByWorkloadFootprint!$I$78</definedName>
    <definedName name="Quantity_Tenant6_Standard_D12" localSheetId="9">#REF!</definedName>
    <definedName name="Quantity_Tenant6_Standard_D12">DefineByWorkloadFootprint!$I$69</definedName>
    <definedName name="Quantity_Tenant6_Standard_D12_v2" localSheetId="9">#REF!</definedName>
    <definedName name="Quantity_Tenant6_Standard_D12_v2">DefineByWorkloadFootprint!$I$79</definedName>
    <definedName name="Quantity_Tenant6_Standard_D13" localSheetId="9">#REF!</definedName>
    <definedName name="Quantity_Tenant6_Standard_D13">DefineByWorkloadFootprint!$I$70</definedName>
    <definedName name="Quantity_Tenant6_Standard_D13_v2" localSheetId="9">#REF!</definedName>
    <definedName name="Quantity_Tenant6_Standard_D13_v2">DefineByWorkloadFootprint!$I$80</definedName>
    <definedName name="Quantity_Tenant6_Standard_D14" localSheetId="9">#REF!</definedName>
    <definedName name="Quantity_Tenant6_Standard_D14">DefineByWorkloadFootprint!$I$71</definedName>
    <definedName name="Quantity_Tenant6_Standard_D14_v2" localSheetId="9">#REF!</definedName>
    <definedName name="Quantity_Tenant6_Standard_D14_v2">DefineByWorkloadFootprint!$I$81</definedName>
    <definedName name="Quantity_Tenant6_Standard_D16_V3">DefineByWorkloadFootprint!$I$64</definedName>
    <definedName name="Quantity_Tenant6_Standard_D2" localSheetId="9">#REF!</definedName>
    <definedName name="Quantity_Tenant6_Standard_D2">DefineByWorkloadFootprint!$I$33</definedName>
    <definedName name="Quantity_Tenant6_Standard_D2_v2" localSheetId="9">#REF!</definedName>
    <definedName name="Quantity_Tenant6_Standard_D2_v2">DefineByWorkloadFootprint!$I$43</definedName>
    <definedName name="Quantity_Tenant6_Standard_D2_V3">DefineByWorkloadFootprint!$I$61</definedName>
    <definedName name="Quantity_Tenant6_Standard_D3" localSheetId="9">#REF!</definedName>
    <definedName name="Quantity_Tenant6_Standard_D3">DefineByWorkloadFootprint!$I$34</definedName>
    <definedName name="Quantity_Tenant6_Standard_D3_v2" localSheetId="9">#REF!</definedName>
    <definedName name="Quantity_Tenant6_Standard_D3_v2">DefineByWorkloadFootprint!$I$44</definedName>
    <definedName name="Quantity_Tenant6_Standard_D32_V3">DefineByWorkloadFootprint!$I$65</definedName>
    <definedName name="Quantity_Tenant6_Standard_D4" localSheetId="9">#REF!</definedName>
    <definedName name="Quantity_Tenant6_Standard_D4">DefineByWorkloadFootprint!$I$35</definedName>
    <definedName name="Quantity_Tenant6_Standard_D4_v2" localSheetId="9">#REF!</definedName>
    <definedName name="Quantity_Tenant6_Standard_D4_v2">DefineByWorkloadFootprint!$I$45</definedName>
    <definedName name="Quantity_Tenant6_Standard_D4_V3">DefineByWorkloadFootprint!$I$62</definedName>
    <definedName name="Quantity_Tenant6_Standard_D48_V3">DefineByWorkloadFootprint!#REF!</definedName>
    <definedName name="Quantity_Tenant6_Standard_D5_v2" localSheetId="9">#REF!</definedName>
    <definedName name="Quantity_Tenant6_Standard_D5_v2">DefineByWorkloadFootprint!$I$46</definedName>
    <definedName name="Quantity_Tenant6_Standard_D64_V3">DefineByWorkloadFootprint!#REF!</definedName>
    <definedName name="Quantity_Tenant6_Standard_D8_V3">DefineByWorkloadFootprint!$I$63</definedName>
    <definedName name="Quantity_Tenant6_Standard_DS1" localSheetId="9">#REF!</definedName>
    <definedName name="Quantity_Tenant6_Standard_DS1">DefineByWorkloadFootprint!$I$37</definedName>
    <definedName name="Quantity_Tenant6_Standard_DS1_v2" localSheetId="9">#REF!</definedName>
    <definedName name="Quantity_Tenant6_Standard_DS1_v2">DefineByWorkloadFootprint!$I$48</definedName>
    <definedName name="Quantity_Tenant6_Standard_DS11" localSheetId="9">#REF!</definedName>
    <definedName name="Quantity_Tenant6_Standard_DS11">DefineByWorkloadFootprint!$I$73</definedName>
    <definedName name="Quantity_Tenant6_Standard_DS11_1_v2">DefineByWorkloadFootprint!$I$53</definedName>
    <definedName name="Quantity_Tenant6_Standard_DS11_v2" localSheetId="9">#REF!</definedName>
    <definedName name="Quantity_Tenant6_Standard_DS11_v2">DefineByWorkloadFootprint!$I$83</definedName>
    <definedName name="Quantity_Tenant6_Standard_DS12" localSheetId="9">#REF!</definedName>
    <definedName name="Quantity_Tenant6_Standard_DS12">DefineByWorkloadFootprint!$I$74</definedName>
    <definedName name="Quantity_Tenant6_Standard_DS12_1_v2">DefineByWorkloadFootprint!$I$54</definedName>
    <definedName name="Quantity_Tenant6_Standard_DS12_2_v2">DefineByWorkloadFootprint!$I$55</definedName>
    <definedName name="Quantity_Tenant6_Standard_DS12_v2" localSheetId="9">#REF!</definedName>
    <definedName name="Quantity_Tenant6_Standard_DS12_v2">DefineByWorkloadFootprint!$I$84</definedName>
    <definedName name="Quantity_Tenant6_Standard_DS13" localSheetId="9">#REF!</definedName>
    <definedName name="Quantity_Tenant6_Standard_DS13">DefineByWorkloadFootprint!$I$75</definedName>
    <definedName name="Quantity_Tenant6_Standard_DS13_2_v2">DefineByWorkloadFootprint!$I$57</definedName>
    <definedName name="Quantity_Tenant6_Standard_DS13_4_v2">DefineByWorkloadFootprint!$I$56</definedName>
    <definedName name="Quantity_Tenant6_Standard_DS13_v2" localSheetId="9">#REF!</definedName>
    <definedName name="Quantity_Tenant6_Standard_DS13_v2">DefineByWorkloadFootprint!$I$85</definedName>
    <definedName name="Quantity_Tenant6_Standard_DS14" localSheetId="9">#REF!</definedName>
    <definedName name="Quantity_Tenant6_Standard_DS14">DefineByWorkloadFootprint!$I$76</definedName>
    <definedName name="Quantity_Tenant6_Standard_DS14_4_v2">DefineByWorkloadFootprint!$I$59</definedName>
    <definedName name="Quantity_Tenant6_Standard_DS14_8_v2">DefineByWorkloadFootprint!$I$58</definedName>
    <definedName name="Quantity_Tenant6_Standard_DS14_v2" localSheetId="9">#REF!</definedName>
    <definedName name="Quantity_Tenant6_Standard_DS14_v2">DefineByWorkloadFootprint!$I$86</definedName>
    <definedName name="Quantity_Tenant6_Standard_DS2" localSheetId="9">#REF!</definedName>
    <definedName name="Quantity_Tenant6_Standard_DS2">DefineByWorkloadFootprint!$I$38</definedName>
    <definedName name="Quantity_Tenant6_Standard_DS2_v2" localSheetId="9">#REF!</definedName>
    <definedName name="Quantity_Tenant6_Standard_DS2_v2">DefineByWorkloadFootprint!$I$49</definedName>
    <definedName name="Quantity_Tenant6_Standard_DS3" localSheetId="9">#REF!</definedName>
    <definedName name="Quantity_Tenant6_Standard_DS3">DefineByWorkloadFootprint!$I$39</definedName>
    <definedName name="Quantity_Tenant6_Standard_DS3_v2" localSheetId="9">#REF!</definedName>
    <definedName name="Quantity_Tenant6_Standard_DS3_v2">DefineByWorkloadFootprint!$I$50</definedName>
    <definedName name="Quantity_Tenant6_Standard_DS4" localSheetId="9">#REF!</definedName>
    <definedName name="Quantity_Tenant6_Standard_DS4">DefineByWorkloadFootprint!$I$40</definedName>
    <definedName name="Quantity_Tenant6_Standard_DS4_v2" localSheetId="9">#REF!</definedName>
    <definedName name="Quantity_Tenant6_Standard_DS4_v2">DefineByWorkloadFootprint!$I$51</definedName>
    <definedName name="Quantity_Tenant6_Standard_DS5_v2" localSheetId="9">#REF!</definedName>
    <definedName name="Quantity_Tenant6_Standard_DS5_v2">DefineByWorkloadFootprint!$I$52</definedName>
    <definedName name="Quantity_Tenant6_Standard_E16_v3">DefineByWorkloadFootprint!$I$91</definedName>
    <definedName name="Quantity_Tenant6_Standard_E2_v3">DefineByWorkloadFootprint!$I$88</definedName>
    <definedName name="Quantity_Tenant6_Standard_E20_v3">DefineByWorkloadFootprint!$I$92</definedName>
    <definedName name="Quantity_Tenant6_Standard_E32_v3">DefineByWorkloadFootprint!#REF!</definedName>
    <definedName name="Quantity_Tenant6_Standard_E4_v3">DefineByWorkloadFootprint!$I$89</definedName>
    <definedName name="Quantity_Tenant6_Standard_E48_v3">DefineByWorkloadFootprint!#REF!</definedName>
    <definedName name="Quantity_Tenant6_Standard_E64_v3">DefineByWorkloadFootprint!#REF!</definedName>
    <definedName name="Quantity_Tenant6_Standard_E64i_v3">DefineByWorkloadFootprint!#REF!</definedName>
    <definedName name="Quantity_Tenant6_Standard_E8_v3">DefineByWorkloadFootprint!$I$90</definedName>
    <definedName name="Quantity_Tenant6_Standard_F1" localSheetId="9">#REF!</definedName>
    <definedName name="Quantity_Tenant6_Standard_F1">DefineByWorkloadFootprint!$I$95</definedName>
    <definedName name="Quantity_Tenant6_Standard_F16" localSheetId="9">#REF!</definedName>
    <definedName name="Quantity_Tenant6_Standard_F16">DefineByWorkloadFootprint!$I$99</definedName>
    <definedName name="Quantity_Tenant6_Standard_F16s" localSheetId="9">#REF!</definedName>
    <definedName name="Quantity_Tenant6_Standard_F16s">DefineByWorkloadFootprint!$I$105</definedName>
    <definedName name="Quantity_Tenant6_Standard_F16s_v2" localSheetId="9">#REF!</definedName>
    <definedName name="Quantity_Tenant6_Standard_F16s_v2">DefineByWorkloadFootprint!$I$110</definedName>
    <definedName name="Quantity_Tenant6_Standard_F1s" localSheetId="9">#REF!</definedName>
    <definedName name="Quantity_Tenant6_Standard_F1s">DefineByWorkloadFootprint!$I$101</definedName>
    <definedName name="Quantity_Tenant6_Standard_F2" localSheetId="9">#REF!</definedName>
    <definedName name="Quantity_Tenant6_Standard_F2">DefineByWorkloadFootprint!$I$96</definedName>
    <definedName name="Quantity_Tenant6_Standard_F2s" localSheetId="9">#REF!</definedName>
    <definedName name="Quantity_Tenant6_Standard_F2s">DefineByWorkloadFootprint!$I$102</definedName>
    <definedName name="Quantity_Tenant6_Standard_F2s_v2" localSheetId="9">#REF!</definedName>
    <definedName name="Quantity_Tenant6_Standard_F2s_v2">DefineByWorkloadFootprint!$I$107</definedName>
    <definedName name="Quantity_Tenant6_Standard_F32s_v2" localSheetId="9">#REF!</definedName>
    <definedName name="Quantity_Tenant6_Standard_F32s_v2">DefineByWorkloadFootprint!$I$111</definedName>
    <definedName name="Quantity_Tenant6_Standard_F4" localSheetId="9">#REF!</definedName>
    <definedName name="Quantity_Tenant6_Standard_F4">DefineByWorkloadFootprint!$I$97</definedName>
    <definedName name="Quantity_Tenant6_Standard_F4s" localSheetId="9">#REF!</definedName>
    <definedName name="Quantity_Tenant6_Standard_F4s">DefineByWorkloadFootprint!$I$103</definedName>
    <definedName name="Quantity_Tenant6_Standard_F4s_v2" localSheetId="9">#REF!</definedName>
    <definedName name="Quantity_Tenant6_Standard_F4s_v2">DefineByWorkloadFootprint!$I$108</definedName>
    <definedName name="Quantity_Tenant6_Standard_F64s_v2" localSheetId="9">#REF!</definedName>
    <definedName name="Quantity_Tenant6_Standard_F64s_v2">DefineByWorkloadFootprint!$I$112</definedName>
    <definedName name="Quantity_Tenant6_Standard_F8" localSheetId="9">#REF!</definedName>
    <definedName name="Quantity_Tenant6_Standard_F8">DefineByWorkloadFootprint!$I$98</definedName>
    <definedName name="Quantity_Tenant6_Standard_F8s" localSheetId="9">#REF!</definedName>
    <definedName name="Quantity_Tenant6_Standard_F8s">DefineByWorkloadFootprint!$I$104</definedName>
    <definedName name="Quantity_Tenant6_Standard_F8s_v2" localSheetId="9">#REF!</definedName>
    <definedName name="Quantity_Tenant6_Standard_F8s_v2">DefineByWorkloadFootprint!$I$109</definedName>
    <definedName name="Quantity_Tenant6_Standard_NC12s_v3">DefineByWorkloadFootprint!$I$115</definedName>
    <definedName name="Quantity_Tenant6_Standard_NC16as_T4_v3">DefineByWorkloadFootprint!$I$120</definedName>
    <definedName name="Quantity_Tenant6_Standard_NC24ads_A100_v4">DefineByWorkloadFootprint!$I$123</definedName>
    <definedName name="Quantity_Tenant6_Standard_NC24s_v3">DefineByWorkloadFootprint!$I$116</definedName>
    <definedName name="Quantity_Tenant6_Standard_NC48ads_A100_v4">DefineByWorkloadFootprint!$I$124</definedName>
    <definedName name="Quantity_Tenant6_Standard_NC4as_T4_v3">DefineByWorkloadFootprint!$I$118</definedName>
    <definedName name="Quantity_Tenant6_Standard_NC64as_T4_v3">DefineByWorkloadFootprint!$I$121</definedName>
    <definedName name="Quantity_Tenant6_Standard_NC6s_v3">DefineByWorkloadFootprint!$I$114</definedName>
    <definedName name="Quantity_Tenant6_Standard_NC8as_T4_v3">DefineByWorkloadFootprint!$I$119</definedName>
    <definedName name="Quantity_Tenant6_Standard_NV16as_v4">DefineByWorkloadFootprint!$I$128</definedName>
    <definedName name="Quantity_Tenant6_Standard_NV32as_v4">DefineByWorkloadFootprint!$I$129</definedName>
    <definedName name="Quantity_Tenant6_Standard_NV4as_v4">DefineByWorkloadFootprint!$I$126</definedName>
    <definedName name="Quantity_Tenant6_Standard_NV8as_v4">DefineByWorkloadFootprint!$I$127</definedName>
    <definedName name="Quantity_Tenant6_VM1">DefineByWorkloadFootprint!$H$202</definedName>
    <definedName name="Quantity_Tenant6_VM3">DefineByWorkloadFootprint!$O$202</definedName>
    <definedName name="Quantity_Tenant6_VM4">DefineByWorkloadFootprint!$T$207</definedName>
    <definedName name="Quantity_Tenant6_VM5">DefineByWorkloadFootprint!$X$207</definedName>
    <definedName name="Quantity_Type1_Tenants" localSheetId="9">#REF!</definedName>
    <definedName name="Quantity_Type1_Tenants">DefineByWorkloadFootprint!$D$7</definedName>
    <definedName name="Quantity_Type2_Tenants" localSheetId="9">#REF!</definedName>
    <definedName name="Quantity_Type2_Tenants">DefineByWorkloadFootprint!$E$7</definedName>
    <definedName name="Quantity_Type3_Tenants" localSheetId="9">#REF!</definedName>
    <definedName name="Quantity_Type3_Tenants">DefineByWorkloadFootprint!$F$7</definedName>
    <definedName name="Quantity_Type4_Tenants" localSheetId="9">#REF!</definedName>
    <definedName name="Quantity_Type4_Tenants">DefineByWorkloadFootprint!$G$7</definedName>
    <definedName name="Quantity_Type5_Tenants" localSheetId="9">#REF!</definedName>
    <definedName name="Quantity_Type5_Tenants">DefineByWorkloadFootprint!$H$7</definedName>
    <definedName name="Quantity_Type6_Tenants" localSheetId="9">#REF!</definedName>
    <definedName name="Quantity_Type6_Tenants">DefineByWorkloadFootprint!$I$7</definedName>
    <definedName name="Quantity_VtoP_core_ratio" localSheetId="9">#REF!</definedName>
    <definedName name="Quantity_VtoP_core_ratio">DefineByWorkloadFootprint!$S$12</definedName>
    <definedName name="RatioVtoPInfrastructureCPU" localSheetId="9">#REF!</definedName>
    <definedName name="RatioVtoPInfrastructureCPU">Reference_AzureStackInputs!$C$26</definedName>
    <definedName name="RawCapacityTB" localSheetId="9">#REF!</definedName>
    <definedName name="RawCapacityTB" localSheetId="14">Ref_WorkloadStorageCapacity!$B$25</definedName>
    <definedName name="RawCapacityTB">Reference_StorageCapacity!$B$25</definedName>
    <definedName name="RawCapacityTiB" localSheetId="14">Ref_WorkloadStorageCapacity!$C$25</definedName>
    <definedName name="RawCapacityTiB">Reference_StorageCapacity!$C$25</definedName>
    <definedName name="RegenReserveTB" localSheetId="9">#REF!</definedName>
    <definedName name="RegenReserveTB" localSheetId="14">Ref_WorkloadStorageCapacity!$B$26</definedName>
    <definedName name="RegenReserveTB">Reference_StorageCapacity!$B$26</definedName>
    <definedName name="S2D_Available_Capacity" localSheetId="9">#REF!</definedName>
    <definedName name="S2D_Available_Capacity">Reference_StorageCapacity!$C$19</definedName>
    <definedName name="S2D_Available_Tenant_Capacity" localSheetId="9">#REF!</definedName>
    <definedName name="S2D_Available_Tenant_Capacity">Ref_WorkloadStorageCapacity!$C$19</definedName>
    <definedName name="S2D_Cache_as__Available_Capacity" localSheetId="9">#REF!</definedName>
    <definedName name="S2D_Cache_as__Available_Capacity" localSheetId="14">Ref_WorkloadStorageCapacity!$B$29</definedName>
    <definedName name="S2D_Cache_as__Available_Capacity">Reference_StorageCapacity!$B$29</definedName>
    <definedName name="S2D_Cache_Capacity" localSheetId="9">#REF!</definedName>
    <definedName name="S2D_Cache_Capacity">#REF!</definedName>
    <definedName name="S2D_Cache_Count" localSheetId="9">#REF!</definedName>
    <definedName name="S2D_Cache_Count">#REF!</definedName>
    <definedName name="S2D_Cache_Size_Raw_Total" localSheetId="9">#REF!</definedName>
    <definedName name="S2D_Cache_Size_Raw_Total">#REF!</definedName>
    <definedName name="S2D_Capacity_Capacity" localSheetId="9">#REF!</definedName>
    <definedName name="S2D_Capacity_Capacity">#REF!</definedName>
    <definedName name="S2D_Capacity_Count" localSheetId="9">#REF!</definedName>
    <definedName name="S2D_Capacity_Count">#REF!</definedName>
    <definedName name="S2D_Capacity_Size_Raw_Total">#REF!</definedName>
    <definedName name="S2D_Tenant_Cache_Capacity" localSheetId="9">#REF!</definedName>
    <definedName name="S2D_Tenant_Cache_Capacity">#REF!</definedName>
    <definedName name="S2D_Tenant_Cache_Count" localSheetId="9">#REF!</definedName>
    <definedName name="S2D_Tenant_Cache_Count">#REF!</definedName>
    <definedName name="S2D_Tenant_Capacity_Capacity" localSheetId="9">#REF!</definedName>
    <definedName name="S2D_Tenant_Capacity_Capacity">#REF!</definedName>
    <definedName name="S2D_Tenant_Capacity_Count" localSheetId="9">#REF!</definedName>
    <definedName name="S2D_Tenant_Capacity_Count">#REF!</definedName>
    <definedName name="Selected_GPU_Partition_Number">GPUReferencePage!$C$18</definedName>
    <definedName name="Selected_Largest_HA_Tenant">DefineByWorkloadFootprint!$L$277</definedName>
    <definedName name="Selected_Largest_HAVM">DefineByVMFootprint!$J$256</definedName>
    <definedName name="Selected_Largest_HAWorkload">DefineByWorkloadFootprint!$L$277</definedName>
    <definedName name="Selected_Tenant_SKU" localSheetId="9">#REF!</definedName>
    <definedName name="Selected_Tenant_SKU">DefineByWorkloadFootprint!$S$5</definedName>
    <definedName name="Selected_VM_SKU" localSheetId="9">#REF!</definedName>
    <definedName name="Selected_VM_SKU">DefineByVMFootprint!$U$5</definedName>
    <definedName name="Server_Socket_Count" localSheetId="9">#REF!</definedName>
    <definedName name="Server_Socket_Count">#REF!</definedName>
    <definedName name="ServerCoresForHostPercent" localSheetId="9">#REF!</definedName>
    <definedName name="ServerCoresForHostPercent">Reference_AzureStackInputs!$C$22</definedName>
    <definedName name="ServersPerScaleUnit" localSheetId="9">#REF!</definedName>
    <definedName name="ServersPerScaleUnit">#REF!</definedName>
    <definedName name="ServersPerTenantScaleUnit" localSheetId="9">#REF!</definedName>
    <definedName name="ServersPerTenantScaleUnit">#REF!</definedName>
    <definedName name="Simple_Memory_Capacity_After_Reserves" localSheetId="9">#REF!</definedName>
    <definedName name="Simple_Memory_Capacity_After_Reserves" localSheetId="14">#REF!</definedName>
    <definedName name="Simple_Memory_Capacity_After_Reserves">#REF!</definedName>
    <definedName name="Sku_1__total_Infrastructure_Memory">SKUsRecommendationPage!$O$27</definedName>
    <definedName name="Sku_1_Allocable_Temp" localSheetId="9">#REF!</definedName>
    <definedName name="Sku_1_Allocable_Temp">SKUsRecommendationPage!$F$38</definedName>
    <definedName name="Sku_1_Available_GPU_Number">GPUReferencePage!$C$26</definedName>
    <definedName name="Sku_1_Cache_Capacity" localSheetId="9">#REF!</definedName>
    <definedName name="Sku_1_Cache_Capacity">DefinedSolutionSKUs!$C$15</definedName>
    <definedName name="Sku_1_Cache_Count" localSheetId="9">#REF!</definedName>
    <definedName name="Sku_1_Cache_Count">DefinedSolutionSKUs!$C$14</definedName>
    <definedName name="Sku_1_Capacity_Capacity" localSheetId="9">#REF!</definedName>
    <definedName name="Sku_1_Capacity_Capacity">DefinedSolutionSKUs!$C$18</definedName>
    <definedName name="Sku_1_Capacity_Count" localSheetId="9">#REF!</definedName>
    <definedName name="Sku_1_Capacity_Count">DefinedSolutionSKUs!$C$17</definedName>
    <definedName name="Sku_1_Consumed_GPU">GPUReferencePage!$C$27</definedName>
    <definedName name="Sku_1_Core_Count" localSheetId="9">#REF!</definedName>
    <definedName name="Sku_1_Core_Count">DefinedSolutionSKUs!$C$10</definedName>
    <definedName name="Sku_1_Cores_Infrastructure" localSheetId="9">#REF!</definedName>
    <definedName name="Sku_1_Cores_Infrastructure">SKUsRecommendationPage!$F$29</definedName>
    <definedName name="Sku_1_Cores_Raw" localSheetId="9">#REF!</definedName>
    <definedName name="Sku_1_Cores_Raw">SKUsRecommendationPage!$F$26</definedName>
    <definedName name="Sku_1_CPU_Count" localSheetId="9">#REF!</definedName>
    <definedName name="Sku_1_CPU_Count">DefinedSolutionSKUs!$C$11</definedName>
    <definedName name="Sku_1_GPU_Number">DefinedSolutionSKUs!$C$20</definedName>
    <definedName name="SKU_1_Head">DefineByVMFootprint!$N$3</definedName>
    <definedName name="Sku_1_Host_Overhead" localSheetId="9">#REF!</definedName>
    <definedName name="Sku_1_Host_Overhead">SKUsRecommendationPage!$F$27</definedName>
    <definedName name="Sku_1_Infrastructure_Memory" localSheetId="9">#REF!</definedName>
    <definedName name="Sku_1_Infrastructure_Memory">SKUsRecommendationPage!#REF!</definedName>
    <definedName name="Sku_1_Memory" localSheetId="9">#REF!</definedName>
    <definedName name="Sku_1_Memory">DefinedSolutionSKUs!$C$12</definedName>
    <definedName name="Sku_1_Memory_for_GPU_VMs">SKUsRecommendationPage!$O$31</definedName>
    <definedName name="Sku_1_Memory_for_VMs" localSheetId="9">#REF!</definedName>
    <definedName name="Sku_1_Memory_for_VMs">SKUsRecommendationPage!$O$30</definedName>
    <definedName name="Sku_1_Memory_Overhead" localSheetId="9">#REF!</definedName>
    <definedName name="Sku_1_Memory_Overhead">SKUsRecommendationPage!$O$28</definedName>
    <definedName name="Sku_1_Memory_Raw" localSheetId="9">#REF!</definedName>
    <definedName name="Sku_1_Memory_Raw">SKUsRecommendationPage!$O$26</definedName>
    <definedName name="Sku_1_Mirrors" localSheetId="9">#REF!</definedName>
    <definedName name="Sku_1_Mirrors">SKUsRecommendationPage!$F$39</definedName>
    <definedName name="Sku_1_Name" localSheetId="9">#REF!</definedName>
    <definedName name="Sku_1_Name">SKUsRecommendationPage!$D$4</definedName>
    <definedName name="Sku_1_Raw_Temp">SKUsRecommendationPage!$F$37</definedName>
    <definedName name="Sku_1_Reserved_Memory" localSheetId="9">#REF!</definedName>
    <definedName name="Sku_1_Reserved_Memory">SKUsRecommendationPage!$O$29</definedName>
    <definedName name="Sku_1_Servers" localSheetId="9">#REF!</definedName>
    <definedName name="Sku_1_Servers">DefineByVMFootprint!$N$4</definedName>
    <definedName name="Sku_1_Temp_Avail_Capacity" localSheetId="9">#REF!</definedName>
    <definedName name="Sku_1_Temp_Avail_Capacity">SKUsRecommendationPage!$F$40</definedName>
    <definedName name="Sku_1_Temp_Disk_Value" localSheetId="9">#REF!</definedName>
    <definedName name="Sku_1_Temp_Disk_Value">SKUsRecommendationPage!$F$43</definedName>
    <definedName name="Sku_1_Temp_per_Server" localSheetId="9">#REF!</definedName>
    <definedName name="Sku_1_Temp_per_Server">SKUsRecommendationPage!$F$41</definedName>
    <definedName name="Sku_1_Temp_per_Tenant" localSheetId="9">#REF!</definedName>
    <definedName name="Sku_1_Temp_per_Tenant">SKUsRecommendationPage!$F$42</definedName>
    <definedName name="Sku_1_Tenant_Allocable_Temp" localSheetId="9">#REF!</definedName>
    <definedName name="Sku_1_Tenant_Allocable_Temp">SKUsRecommendationPage!$Z$38</definedName>
    <definedName name="Sku_1_Tenant_Cores_Infrastructure" localSheetId="9">#REF!</definedName>
    <definedName name="Sku_1_Tenant_Cores_Infrastructure">SKUsRecommendationPage!$Z$29</definedName>
    <definedName name="Sku_1_Tenant_Cores_Raw" localSheetId="9">#REF!</definedName>
    <definedName name="Sku_1_Tenant_Cores_Raw">SKUsRecommendationPage!$Z$26</definedName>
    <definedName name="Sku_1_Tenant_Host_Overhead" localSheetId="9">#REF!</definedName>
    <definedName name="Sku_1_Tenant_Host_Overhead">SKUsRecommendationPage!$Z$27</definedName>
    <definedName name="Sku_1_Tenant_Infrastructure_Memory" localSheetId="9">#REF!</definedName>
    <definedName name="Sku_1_Tenant_Infrastructure_Memory">SKUsRecommendationPage!#REF!</definedName>
    <definedName name="Sku_1_Tenant_Memory_for_VMs" localSheetId="9">#REF!</definedName>
    <definedName name="Sku_1_Tenant_Memory_for_VMs">SKUsRecommendationPage!$AI$30</definedName>
    <definedName name="Sku_1_Tenant_Memory_GPU_VMs">SKUsRecommendationPage!$AI$31</definedName>
    <definedName name="Sku_1_Tenant_Memory_Overhead" localSheetId="9">#REF!</definedName>
    <definedName name="Sku_1_Tenant_Memory_Overhead">SKUsRecommendationPage!$AI$28</definedName>
    <definedName name="Sku_1_Tenant_Memory_Raw" localSheetId="9">#REF!</definedName>
    <definedName name="Sku_1_Tenant_Memory_Raw">SKUsRecommendationPage!$AI$26</definedName>
    <definedName name="Sku_1_Tenant_Mirrors" localSheetId="9">#REF!</definedName>
    <definedName name="Sku_1_Tenant_Mirrors">SKUsRecommendationPage!$Z$39</definedName>
    <definedName name="Sku_1_Tenant_Raw_Temp">SKUsRecommendationPage!$Z$37</definedName>
    <definedName name="Sku_1_Tenant_Reserved_Memory" localSheetId="9">#REF!</definedName>
    <definedName name="Sku_1_Tenant_Reserved_Memory">SKUsRecommendationPage!$AI$29</definedName>
    <definedName name="Sku_1_Tenant_Servers" localSheetId="9">#REF!</definedName>
    <definedName name="Sku_1_Tenant_Servers">DefineByWorkloadFootprint!$L$4</definedName>
    <definedName name="Sku_1_Tenant_Temp_Avail_Capacity" localSheetId="9">#REF!</definedName>
    <definedName name="Sku_1_Tenant_Temp_Avail_Capacity">SKUsRecommendationPage!$Z$40</definedName>
    <definedName name="Sku_1_Tenant_Temp_Disk_Value" localSheetId="9">#REF!</definedName>
    <definedName name="Sku_1_Tenant_Temp_Disk_Value">SKUsRecommendationPage!$Z$43</definedName>
    <definedName name="Sku_1_Tenant_Temp_per_Server" localSheetId="9">#REF!</definedName>
    <definedName name="Sku_1_Tenant_Temp_per_Server">SKUsRecommendationPage!$Z$41</definedName>
    <definedName name="Sku_1_Tenant_Temp_per_Tenant" localSheetId="9">#REF!</definedName>
    <definedName name="Sku_1_Tenant_Temp_per_Tenant">SKUsRecommendationPage!$Z$42</definedName>
    <definedName name="Sku_1_Tenant_Total_Cores" localSheetId="9">#REF!</definedName>
    <definedName name="Sku_1_Tenant_Total_Cores">SKUsRecommendationPage!$Z$33</definedName>
    <definedName name="Sku_1_Tenant_Total_Storage" localSheetId="9">#REF!</definedName>
    <definedName name="Sku_1_Tenant_Total_Storage">SKUsRecommendationPage!$AI$35</definedName>
    <definedName name="Sku_1_Total_Cores" localSheetId="9">#REF!</definedName>
    <definedName name="Sku_1_Total_Cores">SKUsRecommendationPage!$F$33</definedName>
    <definedName name="Sku_1_total_Infrastructure_Memory">SKUsRecommendationPage!$O$27</definedName>
    <definedName name="Sku_1_Total_Storage" localSheetId="9">#REF!</definedName>
    <definedName name="Sku_1_Total_Storage">SKUsRecommendationPage!$O$35</definedName>
    <definedName name="Sku_1_total_Tenant_Infrastructure_Memory">SKUsRecommendationPage!$AI$27</definedName>
    <definedName name="Sku_2_Allocable_Temp" localSheetId="9">#REF!</definedName>
    <definedName name="Sku_2_Allocable_Temp">SKUsRecommendationPage!$G$38</definedName>
    <definedName name="Sku_2_Available_GPU_Number">GPUReferencePage!$D$26</definedName>
    <definedName name="Sku_2_Cache_Capacity" localSheetId="9">#REF!</definedName>
    <definedName name="Sku_2_Cache_Capacity">DefinedSolutionSKUs!$D$15</definedName>
    <definedName name="Sku_2_Cache_Count" localSheetId="9">#REF!</definedName>
    <definedName name="Sku_2_Cache_Count">DefinedSolutionSKUs!$D$14</definedName>
    <definedName name="Sku_2_Capacity_Capacity" localSheetId="9">#REF!</definedName>
    <definedName name="Sku_2_Capacity_Capacity">DefinedSolutionSKUs!$D$18</definedName>
    <definedName name="Sku_2_Capacity_Count" localSheetId="9">#REF!</definedName>
    <definedName name="Sku_2_Capacity_Count">DefinedSolutionSKUs!$D$17</definedName>
    <definedName name="Sku_2_Consumed_GPU">GPUReferencePage!$D$27</definedName>
    <definedName name="Sku_2_Core_Count" localSheetId="9">#REF!</definedName>
    <definedName name="Sku_2_Core_Count">DefinedSolutionSKUs!$D$10</definedName>
    <definedName name="Sku_2_Cores_Infrastructure" localSheetId="9">#REF!</definedName>
    <definedName name="Sku_2_Cores_Infrastructure">SKUsRecommendationPage!$G$29</definedName>
    <definedName name="Sku_2_Cores_Raw" localSheetId="9">#REF!</definedName>
    <definedName name="Sku_2_Cores_Raw">SKUsRecommendationPage!$G$26</definedName>
    <definedName name="Sku_2_CPU_Count" localSheetId="9">#REF!</definedName>
    <definedName name="Sku_2_CPU_Count">DefinedSolutionSKUs!$D$11</definedName>
    <definedName name="Sku_2_GPU_Number">DefinedSolutionSKUs!$D$20</definedName>
    <definedName name="SKU_2_Head">DefineByVMFootprint!$O$3</definedName>
    <definedName name="Sku_2_Host_Overhead" localSheetId="9">#REF!</definedName>
    <definedName name="Sku_2_Host_Overhead">SKUsRecommendationPage!$G$27</definedName>
    <definedName name="Sku_2_Infrastructure_Memory" localSheetId="9">#REF!</definedName>
    <definedName name="Sku_2_Infrastructure_Memory">SKUsRecommendationPage!#REF!</definedName>
    <definedName name="Sku_2_Memory" localSheetId="9">#REF!</definedName>
    <definedName name="Sku_2_Memory">DefinedSolutionSKUs!$D$12</definedName>
    <definedName name="Sku_2_Memory_for_GPU_VMs">SKUsRecommendationPage!$P$31</definedName>
    <definedName name="Sku_2_Memory_for_VMs" localSheetId="9">#REF!</definedName>
    <definedName name="Sku_2_Memory_for_VMs">SKUsRecommendationPage!$P$30</definedName>
    <definedName name="Sku_2_Memory_Overhead" localSheetId="9">#REF!</definedName>
    <definedName name="Sku_2_Memory_Overhead">SKUsRecommendationPage!$P$28</definedName>
    <definedName name="Sku_2_Memory_Raw" localSheetId="9">#REF!</definedName>
    <definedName name="Sku_2_Memory_Raw">SKUsRecommendationPage!$P$26</definedName>
    <definedName name="Sku_2_Mirrors" localSheetId="9">#REF!</definedName>
    <definedName name="Sku_2_Mirrors">SKUsRecommendationPage!$G$39</definedName>
    <definedName name="Sku_2_Name" localSheetId="9">#REF!</definedName>
    <definedName name="Sku_2_Name">SKUsRecommendationPage!$E$4</definedName>
    <definedName name="Sku_2_Raw_Temp">SKUsRecommendationPage!$G$37</definedName>
    <definedName name="Sku_2_Reserved_Memory" localSheetId="9">#REF!</definedName>
    <definedName name="Sku_2_Reserved_Memory">SKUsRecommendationPage!$P$29</definedName>
    <definedName name="Sku_2_Servers" localSheetId="9">#REF!</definedName>
    <definedName name="Sku_2_Servers">DefineByVMFootprint!$O$4</definedName>
    <definedName name="Sku_2_Temp_Avail_Capacity" localSheetId="9">#REF!</definedName>
    <definedName name="Sku_2_Temp_Avail_Capacity">SKUsRecommendationPage!$G$40</definedName>
    <definedName name="Sku_2_Temp_Disk_Value" localSheetId="9">#REF!</definedName>
    <definedName name="Sku_2_Temp_Disk_Value">SKUsRecommendationPage!$G$43</definedName>
    <definedName name="Sku_2_Temp_per_Server" localSheetId="9">#REF!</definedName>
    <definedName name="Sku_2_Temp_per_Server">SKUsRecommendationPage!$G$41</definedName>
    <definedName name="Sku_2_Temp_per_Tenant" localSheetId="9">#REF!</definedName>
    <definedName name="Sku_2_Temp_per_Tenant">SKUsRecommendationPage!$G$42</definedName>
    <definedName name="Sku_2_Tenant_Allocable_Temp" localSheetId="9">#REF!</definedName>
    <definedName name="Sku_2_Tenant_Allocable_Temp">SKUsRecommendationPage!$AA$38</definedName>
    <definedName name="Sku_2_Tenant_Cores_Infrastructure" localSheetId="9">#REF!</definedName>
    <definedName name="Sku_2_Tenant_Cores_Infrastructure">SKUsRecommendationPage!$AA$29</definedName>
    <definedName name="Sku_2_Tenant_Cores_Raw" localSheetId="9">#REF!</definedName>
    <definedName name="Sku_2_Tenant_Cores_Raw">SKUsRecommendationPage!$AA$26</definedName>
    <definedName name="Sku_2_Tenant_Host_Overhead" localSheetId="9">#REF!</definedName>
    <definedName name="Sku_2_Tenant_Host_Overhead">SKUsRecommendationPage!$AA$27</definedName>
    <definedName name="Sku_2_Tenant_Infrastructure_Memory" localSheetId="9">#REF!</definedName>
    <definedName name="Sku_2_Tenant_Infrastructure_Memory">SKUsRecommendationPage!#REF!</definedName>
    <definedName name="Sku_2_Tenant_Memory_for_VMs" localSheetId="9">#REF!</definedName>
    <definedName name="Sku_2_Tenant_Memory_for_VMs">SKUsRecommendationPage!$AJ$30</definedName>
    <definedName name="Sku_2_Tenant_Memory_GPU_VMs">SKUsRecommendationPage!$AJ$31</definedName>
    <definedName name="Sku_2_Tenant_Memory_Overhead" localSheetId="9">#REF!</definedName>
    <definedName name="Sku_2_Tenant_Memory_Overhead">SKUsRecommendationPage!$AJ$28</definedName>
    <definedName name="Sku_2_Tenant_Memory_Raw" localSheetId="9">#REF!</definedName>
    <definedName name="Sku_2_Tenant_Memory_Raw">SKUsRecommendationPage!$AJ$26</definedName>
    <definedName name="Sku_2_Tenant_Mirrors" localSheetId="9">#REF!</definedName>
    <definedName name="Sku_2_Tenant_Mirrors">SKUsRecommendationPage!$AA$39</definedName>
    <definedName name="Sku_2_Tenant_Reserved_Memory" localSheetId="9">#REF!</definedName>
    <definedName name="Sku_2_Tenant_Reserved_Memory">SKUsRecommendationPage!$AJ$29</definedName>
    <definedName name="Sku_2_Tenant_Servers" localSheetId="9">#REF!</definedName>
    <definedName name="Sku_2_Tenant_Servers">DefineByWorkloadFootprint!$M$4</definedName>
    <definedName name="Sku_2_Tenant_Temp_Avail_Capacity" localSheetId="9">#REF!</definedName>
    <definedName name="Sku_2_Tenant_Temp_Avail_Capacity">SKUsRecommendationPage!$AA$40</definedName>
    <definedName name="Sku_2_Tenant_Temp_Disk_Value" localSheetId="9">#REF!</definedName>
    <definedName name="Sku_2_Tenant_Temp_Disk_Value">SKUsRecommendationPage!$AA$43</definedName>
    <definedName name="Sku_2_Tenant_Temp_per_Server" localSheetId="9">#REF!</definedName>
    <definedName name="Sku_2_Tenant_Temp_per_Server">SKUsRecommendationPage!$AA$41</definedName>
    <definedName name="Sku_2_Tenant_Temp_per_Tenant" localSheetId="9">#REF!</definedName>
    <definedName name="Sku_2_Tenant_Temp_per_Tenant">SKUsRecommendationPage!$AA$42</definedName>
    <definedName name="Sku_2_Tenant_Total_Cores" localSheetId="9">#REF!</definedName>
    <definedName name="Sku_2_Tenant_Total_Cores">SKUsRecommendationPage!$AA$33</definedName>
    <definedName name="Sku_2_Tenant_Total_Storage" localSheetId="9">#REF!</definedName>
    <definedName name="Sku_2_Tenant_Total_Storage">SKUsRecommendationPage!$AJ$35</definedName>
    <definedName name="Sku_2_Total_Cores" localSheetId="9">#REF!</definedName>
    <definedName name="Sku_2_Total_Cores">SKUsRecommendationPage!$G$33</definedName>
    <definedName name="Sku_2_total_Infrastructure_Memory">SKUsRecommendationPage!$P$27</definedName>
    <definedName name="Sku_2_Total_Storage" localSheetId="9">#REF!</definedName>
    <definedName name="Sku_2_Total_Storage">SKUsRecommendationPage!$P$35</definedName>
    <definedName name="Sku_2_total_Tenant_Infrastructure_Memory">SKUsRecommendationPage!$AJ$27</definedName>
    <definedName name="Sku_3_Allocable_Temp" localSheetId="9">#REF!</definedName>
    <definedName name="Sku_3_Allocable_Temp">SKUsRecommendationPage!$H$38</definedName>
    <definedName name="Sku_3_Available_GPU_Number">GPUReferencePage!$E$26</definedName>
    <definedName name="Sku_3_Cache_Capacity" localSheetId="9">#REF!</definedName>
    <definedName name="Sku_3_Cache_Capacity">DefinedSolutionSKUs!$E$15</definedName>
    <definedName name="Sku_3_Cache_Count" localSheetId="9">#REF!</definedName>
    <definedName name="Sku_3_Cache_Count">DefinedSolutionSKUs!$E$14</definedName>
    <definedName name="Sku_3_Capacity_Capacity" localSheetId="9">#REF!</definedName>
    <definedName name="Sku_3_Capacity_Capacity">DefinedSolutionSKUs!$E$18</definedName>
    <definedName name="Sku_3_Capacity_Count" localSheetId="9">#REF!</definedName>
    <definedName name="Sku_3_Capacity_Count">DefinedSolutionSKUs!$E$17</definedName>
    <definedName name="Sku_3_Consumed_GPU">GPUReferencePage!$E$27</definedName>
    <definedName name="Sku_3_Core_Count" localSheetId="9">#REF!</definedName>
    <definedName name="Sku_3_Core_Count">DefinedSolutionSKUs!$E$10</definedName>
    <definedName name="Sku_3_Cores_Infrastructure" localSheetId="9">#REF!</definedName>
    <definedName name="Sku_3_Cores_Infrastructure">SKUsRecommendationPage!$H$29</definedName>
    <definedName name="Sku_3_Cores_Raw" localSheetId="9">#REF!</definedName>
    <definedName name="Sku_3_Cores_Raw">SKUsRecommendationPage!$H$26</definedName>
    <definedName name="Sku_3_CPU_Count" localSheetId="9">#REF!</definedName>
    <definedName name="Sku_3_CPU_Count">DefinedSolutionSKUs!$E$11</definedName>
    <definedName name="Sku_3_GPU_Number">DefinedSolutionSKUs!$E$20</definedName>
    <definedName name="SKU_3_Head">DefineByVMFootprint!$P$3</definedName>
    <definedName name="Sku_3_Host_Overhead" localSheetId="9">#REF!</definedName>
    <definedName name="Sku_3_Host_Overhead">SKUsRecommendationPage!$H$27</definedName>
    <definedName name="Sku_3_Infrastructure_Memory" localSheetId="9">#REF!</definedName>
    <definedName name="Sku_3_Infrastructure_Memory">SKUsRecommendationPage!#REF!</definedName>
    <definedName name="Sku_3_Memory" localSheetId="9">#REF!</definedName>
    <definedName name="Sku_3_Memory">DefinedSolutionSKUs!$E$12</definedName>
    <definedName name="Sku_3_Memory_for_GPU_VMs">SKUsRecommendationPage!$Q$31</definedName>
    <definedName name="Sku_3_Memory_for_VMs" localSheetId="9">#REF!</definedName>
    <definedName name="Sku_3_Memory_for_VMs">SKUsRecommendationPage!$Q$30</definedName>
    <definedName name="Sku_3_Memory_Overhead" localSheetId="9">#REF!</definedName>
    <definedName name="Sku_3_Memory_Overhead">SKUsRecommendationPage!$Q$28</definedName>
    <definedName name="Sku_3_Memory_Raw" localSheetId="9">#REF!</definedName>
    <definedName name="Sku_3_Memory_Raw">SKUsRecommendationPage!$Q$26</definedName>
    <definedName name="Sku_3_Mirrors" localSheetId="9">#REF!</definedName>
    <definedName name="Sku_3_Mirrors">SKUsRecommendationPage!$H$39</definedName>
    <definedName name="Sku_3_Name" localSheetId="9">#REF!</definedName>
    <definedName name="Sku_3_Name">SKUsRecommendationPage!$F$4</definedName>
    <definedName name="Sku_3_Raw_Temp">SKUsRecommendationPage!$H$37</definedName>
    <definedName name="Sku_3_Reserved_Memory" localSheetId="9">#REF!</definedName>
    <definedName name="Sku_3_Reserved_Memory">SKUsRecommendationPage!$Q$29</definedName>
    <definedName name="Sku_3_Servers" localSheetId="9">#REF!</definedName>
    <definedName name="Sku_3_Servers">DefineByVMFootprint!$P$4</definedName>
    <definedName name="Sku_3_Temp_Avail_Capacity" localSheetId="9">#REF!</definedName>
    <definedName name="Sku_3_Temp_Avail_Capacity">SKUsRecommendationPage!$H$40</definedName>
    <definedName name="Sku_3_Temp_Disk_Value" localSheetId="9">#REF!</definedName>
    <definedName name="Sku_3_Temp_Disk_Value">SKUsRecommendationPage!$H$43</definedName>
    <definedName name="Sku_3_Temp_per_Server" localSheetId="9">#REF!</definedName>
    <definedName name="Sku_3_Temp_per_Server">SKUsRecommendationPage!$H$41</definedName>
    <definedName name="Sku_3_Temp_per_Tenant" localSheetId="9">#REF!</definedName>
    <definedName name="Sku_3_Temp_per_Tenant">SKUsRecommendationPage!$H$42</definedName>
    <definedName name="Sku_3_Tenant_Allocable_Temp" localSheetId="9">#REF!</definedName>
    <definedName name="Sku_3_Tenant_Allocable_Temp">SKUsRecommendationPage!$AB$38</definedName>
    <definedName name="Sku_3_Tenant_Cores_Infrastructure" localSheetId="9">#REF!</definedName>
    <definedName name="Sku_3_Tenant_Cores_Infrastructure">SKUsRecommendationPage!$AB$29</definedName>
    <definedName name="Sku_3_Tenant_Cores_Raw" localSheetId="9">#REF!</definedName>
    <definedName name="Sku_3_Tenant_Cores_Raw">SKUsRecommendationPage!$AB$26</definedName>
    <definedName name="Sku_3_Tenant_Host_Overhead" localSheetId="9">#REF!</definedName>
    <definedName name="Sku_3_Tenant_Host_Overhead">SKUsRecommendationPage!$AB$27</definedName>
    <definedName name="Sku_3_Tenant_Infrastructure_Memory" localSheetId="9">#REF!</definedName>
    <definedName name="Sku_3_Tenant_Infrastructure_Memory">SKUsRecommendationPage!#REF!</definedName>
    <definedName name="Sku_3_Tenant_Memory_for_VMs" localSheetId="9">#REF!</definedName>
    <definedName name="Sku_3_Tenant_Memory_for_VMs">SKUsRecommendationPage!$AK$30</definedName>
    <definedName name="Sku_3_Tenant_Memory_GPU_VMs">SKUsRecommendationPage!$AK$31</definedName>
    <definedName name="Sku_3_Tenant_Memory_Overhead" localSheetId="9">#REF!</definedName>
    <definedName name="Sku_3_Tenant_Memory_Overhead">SKUsRecommendationPage!$AK$28</definedName>
    <definedName name="Sku_3_Tenant_Memory_Raw" localSheetId="9">#REF!</definedName>
    <definedName name="Sku_3_Tenant_Memory_Raw">SKUsRecommendationPage!$AK$26</definedName>
    <definedName name="Sku_3_Tenant_Mirrors" localSheetId="9">#REF!</definedName>
    <definedName name="Sku_3_Tenant_Mirrors">SKUsRecommendationPage!$AB$39</definedName>
    <definedName name="Sku_3_Tenant_Reserved_Memory" localSheetId="9">#REF!</definedName>
    <definedName name="Sku_3_Tenant_Reserved_Memory">SKUsRecommendationPage!$AK$29</definedName>
    <definedName name="Sku_3_Tenant_Servers" localSheetId="9">#REF!</definedName>
    <definedName name="Sku_3_Tenant_Servers">DefineByWorkloadFootprint!$N$4</definedName>
    <definedName name="Sku_3_Tenant_Temp_Avail_Capacity" localSheetId="9">#REF!</definedName>
    <definedName name="Sku_3_Tenant_Temp_Avail_Capacity">SKUsRecommendationPage!$AB$40</definedName>
    <definedName name="Sku_3_Tenant_Temp_Disk_Value" localSheetId="9">#REF!</definedName>
    <definedName name="Sku_3_Tenant_Temp_Disk_Value">SKUsRecommendationPage!$AB$43</definedName>
    <definedName name="Sku_3_Tenant_Temp_per_Server" localSheetId="9">#REF!</definedName>
    <definedName name="Sku_3_Tenant_Temp_per_Server">SKUsRecommendationPage!$AB$41</definedName>
    <definedName name="Sku_3_Tenant_Temp_per_Tenant" localSheetId="9">#REF!</definedName>
    <definedName name="Sku_3_Tenant_Temp_per_Tenant">SKUsRecommendationPage!$AB$42</definedName>
    <definedName name="Sku_3_Tenant_Total_Cores" localSheetId="9">#REF!</definedName>
    <definedName name="Sku_3_Tenant_Total_Cores">SKUsRecommendationPage!$AB$33</definedName>
    <definedName name="Sku_3_Tenant_Total_Storage" localSheetId="9">#REF!</definedName>
    <definedName name="Sku_3_Tenant_Total_Storage">SKUsRecommendationPage!$AK$35</definedName>
    <definedName name="Sku_3_Total_Cores" localSheetId="9">#REF!</definedName>
    <definedName name="Sku_3_Total_Cores">SKUsRecommendationPage!$H$33</definedName>
    <definedName name="Sku_3_total_Infrastructure_Memory">SKUsRecommendationPage!$Q$27</definedName>
    <definedName name="Sku_3_Total_Storage" localSheetId="9">#REF!</definedName>
    <definedName name="Sku_3_Total_Storage">SKUsRecommendationPage!$Q$35</definedName>
    <definedName name="Sku_3_total_Tenant_Infrastructure_Memory">SKUsRecommendationPage!$AK$27</definedName>
    <definedName name="Sku_4_Allocable_Temp" localSheetId="9">#REF!</definedName>
    <definedName name="Sku_4_Allocable_Temp">SKUsRecommendationPage!$I$38</definedName>
    <definedName name="Sku_4_Available_GPU_Number">GPUReferencePage!$F$26</definedName>
    <definedName name="Sku_4_Cache_Capacity" localSheetId="9">#REF!</definedName>
    <definedName name="Sku_4_Cache_Capacity">DefinedSolutionSKUs!$F$15</definedName>
    <definedName name="Sku_4_Cache_Count" localSheetId="9">#REF!</definedName>
    <definedName name="Sku_4_Cache_Count">DefinedSolutionSKUs!$F$14</definedName>
    <definedName name="Sku_4_Capacity_Capacity" localSheetId="9">#REF!</definedName>
    <definedName name="Sku_4_Capacity_Capacity">DefinedSolutionSKUs!$F$18</definedName>
    <definedName name="Sku_4_Capacity_Count" localSheetId="9">#REF!</definedName>
    <definedName name="Sku_4_Capacity_Count">DefinedSolutionSKUs!$F$17</definedName>
    <definedName name="Sku_4_Consumed_GPU">GPUReferencePage!$F$27</definedName>
    <definedName name="Sku_4_Core_Count" localSheetId="9">#REF!</definedName>
    <definedName name="Sku_4_Core_Count">DefinedSolutionSKUs!$F$10</definedName>
    <definedName name="Sku_4_Cores_Infrastructure" localSheetId="9">#REF!</definedName>
    <definedName name="Sku_4_Cores_Infrastructure">SKUsRecommendationPage!$I$29</definedName>
    <definedName name="Sku_4_Cores_Raw" localSheetId="9">#REF!</definedName>
    <definedName name="Sku_4_Cores_Raw">SKUsRecommendationPage!$I$26</definedName>
    <definedName name="Sku_4_CPU_Count" localSheetId="9">#REF!</definedName>
    <definedName name="Sku_4_CPU_Count">DefinedSolutionSKUs!$F$11</definedName>
    <definedName name="Sku_4_GPU_Number">DefinedSolutionSKUs!$F$20</definedName>
    <definedName name="SKU_4_Head">DefineByVMFootprint!$Q$3</definedName>
    <definedName name="Sku_4_Host_Overhead" localSheetId="9">#REF!</definedName>
    <definedName name="Sku_4_Host_Overhead">SKUsRecommendationPage!$I$27</definedName>
    <definedName name="Sku_4_Infrastructure_Memory" localSheetId="9">#REF!</definedName>
    <definedName name="Sku_4_Infrastructure_Memory">SKUsRecommendationPage!#REF!</definedName>
    <definedName name="Sku_4_Memory" localSheetId="9">#REF!</definedName>
    <definedName name="Sku_4_Memory">DefinedSolutionSKUs!$F$12</definedName>
    <definedName name="Sku_4_Memory_for_GPU_VMs">SKUsRecommendationPage!$R$31</definedName>
    <definedName name="Sku_4_Memory_for_VMs" localSheetId="9">#REF!</definedName>
    <definedName name="Sku_4_Memory_for_VMs">SKUsRecommendationPage!$R$30</definedName>
    <definedName name="Sku_4_Memory_Overhead" localSheetId="9">#REF!</definedName>
    <definedName name="Sku_4_Memory_Overhead">SKUsRecommendationPage!$R$28</definedName>
    <definedName name="Sku_4_Memory_Raw" localSheetId="9">#REF!</definedName>
    <definedName name="Sku_4_Memory_Raw">SKUsRecommendationPage!$R$26</definedName>
    <definedName name="Sku_4_Mirrors" localSheetId="9">#REF!</definedName>
    <definedName name="Sku_4_Mirrors">SKUsRecommendationPage!$I$39</definedName>
    <definedName name="Sku_4_Name" localSheetId="9">#REF!</definedName>
    <definedName name="Sku_4_Name">SKUsRecommendationPage!$G$4</definedName>
    <definedName name="Sku_4_Raw_Temp">SKUsRecommendationPage!$I$37</definedName>
    <definedName name="Sku_4_Reserved_Memory" localSheetId="9">#REF!</definedName>
    <definedName name="Sku_4_Reserved_Memory">SKUsRecommendationPage!$R$29</definedName>
    <definedName name="Sku_4_Servers" localSheetId="9">#REF!</definedName>
    <definedName name="Sku_4_Servers">DefineByVMFootprint!$Q$4</definedName>
    <definedName name="Sku_4_Temp_Avail_Capacity" localSheetId="9">#REF!</definedName>
    <definedName name="Sku_4_Temp_Avail_Capacity">SKUsRecommendationPage!$I$40</definedName>
    <definedName name="Sku_4_Temp_Disk_Value" localSheetId="9">#REF!</definedName>
    <definedName name="Sku_4_Temp_Disk_Value">SKUsRecommendationPage!$I$43</definedName>
    <definedName name="Sku_4_Temp_per_Server" localSheetId="9">#REF!</definedName>
    <definedName name="Sku_4_Temp_per_Server">SKUsRecommendationPage!$I$41</definedName>
    <definedName name="Sku_4_Temp_per_Tenant" localSheetId="9">#REF!</definedName>
    <definedName name="Sku_4_Temp_per_Tenant">SKUsRecommendationPage!$I$42</definedName>
    <definedName name="Sku_4_Tenant_Allocable_Temp" localSheetId="9">#REF!</definedName>
    <definedName name="Sku_4_Tenant_Allocable_Temp">SKUsRecommendationPage!$AC$38</definedName>
    <definedName name="Sku_4_Tenant_Cores_Infrastructure" localSheetId="9">#REF!</definedName>
    <definedName name="Sku_4_Tenant_Cores_Infrastructure">SKUsRecommendationPage!$AC$29</definedName>
    <definedName name="Sku_4_Tenant_Cores_Raw" localSheetId="9">#REF!</definedName>
    <definedName name="Sku_4_Tenant_Cores_Raw">SKUsRecommendationPage!$AC$26</definedName>
    <definedName name="Sku_4_Tenant_Host_Overhead" localSheetId="9">#REF!</definedName>
    <definedName name="Sku_4_Tenant_Host_Overhead">SKUsRecommendationPage!$AC$27</definedName>
    <definedName name="Sku_4_Tenant_Infrastructure_Memory" localSheetId="9">#REF!</definedName>
    <definedName name="Sku_4_Tenant_Infrastructure_Memory">SKUsRecommendationPage!#REF!</definedName>
    <definedName name="Sku_4_Tenant_Memory_for_VMs" localSheetId="9">#REF!</definedName>
    <definedName name="Sku_4_Tenant_Memory_for_VMs">SKUsRecommendationPage!$AL$30</definedName>
    <definedName name="Sku_4_Tenant_Memory_GPU_VMs">SKUsRecommendationPage!$AL$31</definedName>
    <definedName name="Sku_4_Tenant_Memory_Overhead" localSheetId="9">#REF!</definedName>
    <definedName name="Sku_4_Tenant_Memory_Overhead">SKUsRecommendationPage!$AL$28</definedName>
    <definedName name="Sku_4_Tenant_Memory_Raw" localSheetId="9">#REF!</definedName>
    <definedName name="Sku_4_Tenant_Memory_Raw">SKUsRecommendationPage!$AL$26</definedName>
    <definedName name="Sku_4_Tenant_Mirrors" localSheetId="9">#REF!</definedName>
    <definedName name="Sku_4_Tenant_Mirrors">SKUsRecommendationPage!$AC$39</definedName>
    <definedName name="Sku_4_Tenant_Reserved_Memory" localSheetId="9">#REF!</definedName>
    <definedName name="Sku_4_Tenant_Reserved_Memory">SKUsRecommendationPage!$AL$29</definedName>
    <definedName name="Sku_4_Tenant_Servers" localSheetId="9">#REF!</definedName>
    <definedName name="Sku_4_Tenant_Servers">DefineByWorkloadFootprint!$O$4</definedName>
    <definedName name="Sku_4_Tenant_Temp_Avail_Capacity" localSheetId="9">#REF!</definedName>
    <definedName name="Sku_4_Tenant_Temp_Avail_Capacity">SKUsRecommendationPage!$AC$40</definedName>
    <definedName name="Sku_4_Tenant_Temp_Disk_Value" localSheetId="9">#REF!</definedName>
    <definedName name="Sku_4_Tenant_Temp_Disk_Value">SKUsRecommendationPage!$AC$43</definedName>
    <definedName name="Sku_4_Tenant_Temp_per_Server" localSheetId="9">#REF!</definedName>
    <definedName name="Sku_4_Tenant_Temp_per_Server">SKUsRecommendationPage!$AC$41</definedName>
    <definedName name="Sku_4_Tenant_Temp_per_Tenant" localSheetId="9">#REF!</definedName>
    <definedName name="Sku_4_Tenant_Temp_per_Tenant">SKUsRecommendationPage!$AC$42</definedName>
    <definedName name="Sku_4_Tenant_Total_Cores" localSheetId="9">#REF!</definedName>
    <definedName name="Sku_4_Tenant_Total_Cores">SKUsRecommendationPage!$AC$33</definedName>
    <definedName name="Sku_4_Tenant_Total_Storage" localSheetId="9">#REF!</definedName>
    <definedName name="Sku_4_Tenant_Total_Storage">SKUsRecommendationPage!$AL$35</definedName>
    <definedName name="Sku_4_Total_Cores" localSheetId="9">#REF!</definedName>
    <definedName name="Sku_4_Total_Cores">SKUsRecommendationPage!$I$33</definedName>
    <definedName name="Sku_4_total_Infrastructure_Memory">SKUsRecommendationPage!$R$27</definedName>
    <definedName name="Sku_4_Total_Storage" localSheetId="9">#REF!</definedName>
    <definedName name="Sku_4_Total_Storage">SKUsRecommendationPage!$R$35</definedName>
    <definedName name="Sku_4_total_Tenant_Infrastructure_Memory">SKUsRecommendationPage!$AL$27</definedName>
    <definedName name="Sku_5_Allocable_Temp" localSheetId="9">#REF!</definedName>
    <definedName name="Sku_5_Allocable_Temp">SKUsRecommendationPage!$J$38</definedName>
    <definedName name="Sku_5_Available_GPU_Number">GPUReferencePage!$G$26</definedName>
    <definedName name="Sku_5_Cache_Capacity" localSheetId="9">#REF!</definedName>
    <definedName name="Sku_5_Cache_Capacity">DefinedSolutionSKUs!$G$15</definedName>
    <definedName name="Sku_5_Cache_Count" localSheetId="9">#REF!</definedName>
    <definedName name="Sku_5_Cache_Count">DefinedSolutionSKUs!$G$14</definedName>
    <definedName name="Sku_5_Capacity_Capacity" localSheetId="9">#REF!</definedName>
    <definedName name="Sku_5_Capacity_Capacity">DefinedSolutionSKUs!$G$18</definedName>
    <definedName name="Sku_5_Capacity_Count" localSheetId="9">#REF!</definedName>
    <definedName name="Sku_5_Capacity_Count">DefinedSolutionSKUs!$G$17</definedName>
    <definedName name="Sku_5_Consumed_GPU">GPUReferencePage!$G$27</definedName>
    <definedName name="Sku_5_Core_Count" localSheetId="9">#REF!</definedName>
    <definedName name="Sku_5_Core_Count">DefinedSolutionSKUs!$G$10</definedName>
    <definedName name="Sku_5_Cores_Infrastructure" localSheetId="9">#REF!</definedName>
    <definedName name="Sku_5_Cores_Infrastructure">SKUsRecommendationPage!$J$29</definedName>
    <definedName name="Sku_5_Cores_Raw" localSheetId="9">#REF!</definedName>
    <definedName name="Sku_5_Cores_Raw">SKUsRecommendationPage!$J$26</definedName>
    <definedName name="Sku_5_CPU_Count" localSheetId="9">#REF!</definedName>
    <definedName name="Sku_5_CPU_Count">DefinedSolutionSKUs!$G$11</definedName>
    <definedName name="Sku_5_GPU_Number">DefinedSolutionSKUs!$G$20</definedName>
    <definedName name="SKU_5_Head">DefineByVMFootprint!$R$3</definedName>
    <definedName name="Sku_5_Host_Overhead" localSheetId="9">#REF!</definedName>
    <definedName name="Sku_5_Host_Overhead">SKUsRecommendationPage!$J$27</definedName>
    <definedName name="Sku_5_Infrastructure_Memory" localSheetId="9">#REF!</definedName>
    <definedName name="Sku_5_Infrastructure_Memory">SKUsRecommendationPage!#REF!</definedName>
    <definedName name="Sku_5_Memory" localSheetId="9">#REF!</definedName>
    <definedName name="Sku_5_Memory">DefinedSolutionSKUs!$G$12</definedName>
    <definedName name="Sku_5_Memory_for_GPU_VMs">SKUsRecommendationPage!$S$31</definedName>
    <definedName name="Sku_5_Memory_for_VMs" localSheetId="9">#REF!</definedName>
    <definedName name="Sku_5_Memory_for_VMs">SKUsRecommendationPage!$S$30</definedName>
    <definedName name="Sku_5_Memory_Overhead" localSheetId="9">#REF!</definedName>
    <definedName name="Sku_5_Memory_Overhead">SKUsRecommendationPage!$S$28</definedName>
    <definedName name="Sku_5_Memory_Raw" localSheetId="9">#REF!</definedName>
    <definedName name="Sku_5_Memory_Raw">SKUsRecommendationPage!$S$26</definedName>
    <definedName name="Sku_5_Mirrors" localSheetId="9">#REF!</definedName>
    <definedName name="Sku_5_Mirrors">SKUsRecommendationPage!$J$39</definedName>
    <definedName name="Sku_5_Name" localSheetId="9">#REF!</definedName>
    <definedName name="Sku_5_Name">SKUsRecommendationPage!$H$4</definedName>
    <definedName name="Sku_5_Raw_Temp">SKUsRecommendationPage!$J$37</definedName>
    <definedName name="Sku_5_Reserved_Memory" localSheetId="9">#REF!</definedName>
    <definedName name="Sku_5_Reserved_Memory">SKUsRecommendationPage!$S$29</definedName>
    <definedName name="Sku_5_Servers" localSheetId="9">#REF!</definedName>
    <definedName name="Sku_5_Servers">DefineByVMFootprint!$R$4</definedName>
    <definedName name="Sku_5_Temp_Avail_Capacity" localSheetId="9">#REF!</definedName>
    <definedName name="Sku_5_Temp_Avail_Capacity">SKUsRecommendationPage!$J$40</definedName>
    <definedName name="Sku_5_Temp_Disk_Value" localSheetId="9">#REF!</definedName>
    <definedName name="Sku_5_Temp_Disk_Value">SKUsRecommendationPage!$J$43</definedName>
    <definedName name="Sku_5_Temp_per_Server" localSheetId="9">#REF!</definedName>
    <definedName name="Sku_5_Temp_per_Server">SKUsRecommendationPage!$J$41</definedName>
    <definedName name="Sku_5_Temp_per_Tenant" localSheetId="9">#REF!</definedName>
    <definedName name="Sku_5_Temp_per_Tenant">SKUsRecommendationPage!$J$42</definedName>
    <definedName name="Sku_5_Tenant_Allocable_Temp" localSheetId="9">#REF!</definedName>
    <definedName name="Sku_5_Tenant_Allocable_Temp">SKUsRecommendationPage!$AD$38</definedName>
    <definedName name="Sku_5_Tenant_Cores_Infrastructure" localSheetId="9">#REF!</definedName>
    <definedName name="Sku_5_Tenant_Cores_Infrastructure">SKUsRecommendationPage!$AD$29</definedName>
    <definedName name="Sku_5_Tenant_Cores_Raw" localSheetId="9">#REF!</definedName>
    <definedName name="Sku_5_Tenant_Cores_Raw">SKUsRecommendationPage!$AD$26</definedName>
    <definedName name="Sku_5_Tenant_Host_Overhead" localSheetId="9">#REF!</definedName>
    <definedName name="Sku_5_Tenant_Host_Overhead">SKUsRecommendationPage!$AD$27</definedName>
    <definedName name="Sku_5_Tenant_Infrastructure_Memory" localSheetId="9">#REF!</definedName>
    <definedName name="Sku_5_Tenant_Infrastructure_Memory">SKUsRecommendationPage!#REF!</definedName>
    <definedName name="Sku_5_Tenant_Memory_for_VMs" localSheetId="9">#REF!</definedName>
    <definedName name="Sku_5_Tenant_Memory_for_VMs">SKUsRecommendationPage!$AM$30</definedName>
    <definedName name="Sku_5_Tenant_Memory_GPU_VMs">SKUsRecommendationPage!$AM$31</definedName>
    <definedName name="Sku_5_Tenant_Memory_Overhead" localSheetId="9">#REF!</definedName>
    <definedName name="Sku_5_Tenant_Memory_Overhead">SKUsRecommendationPage!$AM$28</definedName>
    <definedName name="Sku_5_Tenant_Memory_Raw" localSheetId="9">#REF!</definedName>
    <definedName name="Sku_5_Tenant_Memory_Raw">SKUsRecommendationPage!$AM$26</definedName>
    <definedName name="Sku_5_Tenant_Mirrors" localSheetId="9">#REF!</definedName>
    <definedName name="Sku_5_Tenant_Mirrors">SKUsRecommendationPage!$AD$39</definedName>
    <definedName name="Sku_5_Tenant_Raw_Temp">SKUsRecommendationPage!$AD$37</definedName>
    <definedName name="Sku_5_Tenant_Reserved_Memory" localSheetId="9">#REF!</definedName>
    <definedName name="Sku_5_Tenant_Reserved_Memory">SKUsRecommendationPage!$AM$29</definedName>
    <definedName name="Sku_5_Tenant_Servers" localSheetId="9">#REF!</definedName>
    <definedName name="Sku_5_Tenant_Servers">DefineByWorkloadFootprint!$P$4</definedName>
    <definedName name="Sku_5_Tenant_Temp_Avail_Capacity" localSheetId="9">#REF!</definedName>
    <definedName name="Sku_5_Tenant_Temp_Avail_Capacity">SKUsRecommendationPage!$AD$40</definedName>
    <definedName name="Sku_5_Tenant_Temp_Disk_Value" localSheetId="9">#REF!</definedName>
    <definedName name="Sku_5_Tenant_Temp_Disk_Value">SKUsRecommendationPage!$AD$43</definedName>
    <definedName name="Sku_5_Tenant_Temp_per_Server" localSheetId="9">#REF!</definedName>
    <definedName name="Sku_5_Tenant_Temp_per_Server">SKUsRecommendationPage!$AD$41</definedName>
    <definedName name="Sku_5_Tenant_Temp_per_Tenant" localSheetId="9">#REF!</definedName>
    <definedName name="Sku_5_Tenant_Temp_per_Tenant">SKUsRecommendationPage!$AD$42</definedName>
    <definedName name="Sku_5_Tenant_Total_Cores" localSheetId="9">#REF!</definedName>
    <definedName name="Sku_5_Tenant_Total_Cores">SKUsRecommendationPage!$AD$33</definedName>
    <definedName name="Sku_5_Tenant_Total_Storage" localSheetId="9">#REF!</definedName>
    <definedName name="Sku_5_Tenant_Total_Storage">SKUsRecommendationPage!$AM$35</definedName>
    <definedName name="Sku_5_Total_Cores" localSheetId="9">#REF!</definedName>
    <definedName name="Sku_5_Total_Cores">SKUsRecommendationPage!$J$33</definedName>
    <definedName name="Sku_5_total_Infrastructure_Memory">SKUsRecommendationPage!$S$27</definedName>
    <definedName name="Sku_5_Total_Storage" localSheetId="9">#REF!</definedName>
    <definedName name="Sku_5_Total_Storage">SKUsRecommendationPage!$S$35</definedName>
    <definedName name="Sku_5_total_Tenant_Infrastructure_Memory">SKUsRecommendationPage!$AM$27</definedName>
    <definedName name="Sku_6_Allocable_Temp">SKUsRecommendationPage!$K$38</definedName>
    <definedName name="sku_6_AMD_converted_partition_number">GPUReferencePage!$D$18</definedName>
    <definedName name="Sku_6_Available_GPU_Number">GPUReferencePage!$H$26</definedName>
    <definedName name="Sku_6_Cache_Capacity">DefinedSolutionSKUs!$H$15</definedName>
    <definedName name="Sku_6_Cache_Count">DefinedSolutionSKUs!$H$14</definedName>
    <definedName name="Sku_6_Capacity_Capacity">DefinedSolutionSKUs!$H$18</definedName>
    <definedName name="Sku_6_Capacity_Count">DefinedSolutionSKUs!$H$17</definedName>
    <definedName name="Sku_6_Consumed_GPU">GPUReferencePage!$H$27</definedName>
    <definedName name="sku_6_converted_partition_number">GPUReferencePage!$D$18</definedName>
    <definedName name="Sku_6_Core_Count">DefinedSolutionSKUs!$H$10</definedName>
    <definedName name="Sku_6_Cores_Infrastructure">SKUsRecommendationPage!$K$29</definedName>
    <definedName name="Sku_6_Cores_Raw">SKUsRecommendationPage!$K$26</definedName>
    <definedName name="Sku_6_CPU_Count">DefinedSolutionSKUs!$H$11</definedName>
    <definedName name="Sku_6_GPU_Available_Number">GPUReferencePage!$H$26</definedName>
    <definedName name="Sku_6_GPU_Number">DefinedSolutionSKUs!$H$20</definedName>
    <definedName name="Sku_6_GPU_Partition_Number">DefinedSolutionSKUs!$C$21</definedName>
    <definedName name="Sku_6_GPU_Partition_Type">DefinedSolutionSKUs!$H$21</definedName>
    <definedName name="Sku_6_GPU_Type">DefinedSolutionSKUs!$C$19</definedName>
    <definedName name="Sku_6_Host_Overhead">SKUsRecommendationPage!$K$27</definedName>
    <definedName name="Sku_6_Infrastructure_Memory">SKUsRecommendationPage!#REF!</definedName>
    <definedName name="Sku_6_Memory">DefinedSolutionSKUs!$H$12</definedName>
    <definedName name="Sku_6_Memory_for_GPU_VMs">SKUsRecommendationPage!$T$31</definedName>
    <definedName name="Sku_6_Memory_for_VMs">SKUsRecommendationPage!$T$30</definedName>
    <definedName name="Sku_6_Memory_Overhead">SKUsRecommendationPage!$T$28</definedName>
    <definedName name="Sku_6_Memory_Raw">SKUsRecommendationPage!$T$26</definedName>
    <definedName name="Sku_6_Mirrors">SKUsRecommendationPage!$K$39</definedName>
    <definedName name="Sku_6_Raw_Temp">SKUsRecommendationPage!$K$37</definedName>
    <definedName name="Sku_6_Reserved_Memory">SKUsRecommendationPage!$T$29</definedName>
    <definedName name="Sku_6_Servers">DefineByVMFootprint!$S$4</definedName>
    <definedName name="Sku_6_Temp_Avail_Capacity">SKUsRecommendationPage!$K$40</definedName>
    <definedName name="Sku_6_Temp_Disk_Value">SKUsRecommendationPage!$K$43</definedName>
    <definedName name="Sku_6_Temp_per_Server">SKUsRecommendationPage!$K$41</definedName>
    <definedName name="Sku_6_Temp_per_Tenant">SKUsRecommendationPage!$K$42</definedName>
    <definedName name="Sku_6_Tenant_Allocable_Temp">SKUsRecommendationPage!$AE$38</definedName>
    <definedName name="Sku_6_Tenant_Cores_Infrastructure">SKUsRecommendationPage!$AE$29</definedName>
    <definedName name="Sku_6_Tenant_Cores_Raw">SKUsRecommendationPage!$AE$26</definedName>
    <definedName name="Sku_6_Tenant_Host_Overhead">SKUsRecommendationPage!$AE$27</definedName>
    <definedName name="Sku_6_Tenant_Infrastructure_Memory">SKUsRecommendationPage!#REF!</definedName>
    <definedName name="Sku_6_Tenant_Memory_for_VMs">SKUsRecommendationPage!$AN$30</definedName>
    <definedName name="Sku_6_Tenant_Memory_GPU_VMs">SKUsRecommendationPage!$AN$31</definedName>
    <definedName name="Sku_6_Tenant_Memory_Overhead">SKUsRecommendationPage!$AN$28</definedName>
    <definedName name="Sku_6_Tenant_Memory_Raw">SKUsRecommendationPage!$AN$26</definedName>
    <definedName name="Sku_6_Tenant_Mirrors">SKUsRecommendationPage!$AE$39</definedName>
    <definedName name="Sku_6_Tenant_Raw_Temp">SKUsRecommendationPage!$AE$37</definedName>
    <definedName name="Sku_6_Tenant_Reserved_Memory">SKUsRecommendationPage!$AN$29</definedName>
    <definedName name="Sku_6_Tenant_Servers">DefineByWorkloadFootprint!$Q$4</definedName>
    <definedName name="Sku_6_Tenant_Temp_Avail_Capacity">SKUsRecommendationPage!$AE$40</definedName>
    <definedName name="Sku_6_Tenant_Temp_Disk_Value">SKUsRecommendationPage!$AE$43</definedName>
    <definedName name="Sku_6_Tenant_Temp_per_Server">SKUsRecommendationPage!$AE$41</definedName>
    <definedName name="Sku_6_Tenant_Temp_per_Tenant">SKUsRecommendationPage!$AE$42</definedName>
    <definedName name="Sku_6_Tenant_Total_Cores">SKUsRecommendationPage!$AE$33</definedName>
    <definedName name="Sku_6_Tenant_Total_Storage">SKUsRecommendationPage!$AN$35</definedName>
    <definedName name="Sku_6_Total_Cores">SKUsRecommendationPage!$K$33</definedName>
    <definedName name="Sku_6_total_Infrastructure_Memory">SKUsRecommendationPage!$T$27</definedName>
    <definedName name="Sku_6_Total_Storage">SKUsRecommendationPage!$T$35</definedName>
    <definedName name="Sku_6_total_Tenant_Infrastructure_Memory">SKUsRecommendationPage!$AN$27</definedName>
    <definedName name="SKU1_Available_Workload_GPU">GPUReferencePage!$C$30</definedName>
    <definedName name="Sku1_Tenant_Total_GPU">SKUsRecommendationPage!$AD$47</definedName>
    <definedName name="SKU2_Available_Workload_GPU">GPUReferencePage!$D$30</definedName>
    <definedName name="Sku2_Tenant_Total_GPU">SKUsRecommendationPage!$AD$48</definedName>
    <definedName name="SKU3_Available_Workload_GPU">GPUReferencePage!$E$30</definedName>
    <definedName name="Sku3_Tenant_Total_GPU">SKUsRecommendationPage!$AD$49</definedName>
    <definedName name="SKU4_Available_Workload_GPU">GPUReferencePage!$F$30</definedName>
    <definedName name="Sku4_Tenant_Total_GPU">SKUsRecommendationPage!$AD$50</definedName>
    <definedName name="SKU5_Available_Workload_GPU">GPUReferencePage!$G$30</definedName>
    <definedName name="Sku5_Tenant_Total_GPU">SKUsRecommendationPage!$AD$51</definedName>
    <definedName name="SKU6_Available_Workload_GPU">GPUReferencePage!$H$30</definedName>
    <definedName name="Sku6_Tenant_Total_GPU">SKUsRecommendationPage!$AD$52</definedName>
    <definedName name="Standard_A0_Cores" localSheetId="9">#REF!</definedName>
    <definedName name="Standard_A0_Cores">DefineByVMFootprint!$D$14</definedName>
    <definedName name="Standard_A0_Disk" localSheetId="9">#REF!</definedName>
    <definedName name="Standard_A0_Disk">DefineByVMFootprint!$I$14</definedName>
    <definedName name="Standard_A0_Memory" localSheetId="9">#REF!</definedName>
    <definedName name="Standard_A0_Memory">DefineByVMFootprint!$E$14</definedName>
    <definedName name="Standard_A0_Temp" localSheetId="9">#REF!</definedName>
    <definedName name="Standard_A0_Temp">DefineByVMFootprint!$H$14</definedName>
    <definedName name="Standard_A1_Cores" localSheetId="9">#REF!</definedName>
    <definedName name="Standard_A1_Cores">DefineByVMFootprint!$D$15</definedName>
    <definedName name="Standard_A1_Disk" localSheetId="9">#REF!</definedName>
    <definedName name="Standard_A1_Disk">DefineByVMFootprint!$I$15</definedName>
    <definedName name="Standard_A1_Memory" localSheetId="9">#REF!</definedName>
    <definedName name="Standard_A1_Memory">DefineByVMFootprint!$E$15</definedName>
    <definedName name="Standard_A1_Temp" localSheetId="9">#REF!</definedName>
    <definedName name="Standard_A1_Temp">DefineByVMFootprint!$H$15</definedName>
    <definedName name="Standard_A1_v2_Cores" localSheetId="9">#REF!</definedName>
    <definedName name="Standard_A1_v2_Cores">DefineByVMFootprint!$D$23</definedName>
    <definedName name="Standard_A1_v2_Disk" localSheetId="9">#REF!</definedName>
    <definedName name="Standard_A1_v2_Disk">DefineByVMFootprint!$I$23</definedName>
    <definedName name="Standard_A1_v2_Memory" localSheetId="9">#REF!</definedName>
    <definedName name="Standard_A1_v2_Memory">DefineByVMFootprint!$E$23</definedName>
    <definedName name="Standard_A1_v2_Temp" localSheetId="9">#REF!</definedName>
    <definedName name="Standard_A1_v2_Temp">DefineByVMFootprint!$H$23</definedName>
    <definedName name="Standard_A2_Cores" localSheetId="9">#REF!</definedName>
    <definedName name="Standard_A2_Cores">DefineByVMFootprint!$D$16</definedName>
    <definedName name="Standard_A2_Disk" localSheetId="9">#REF!</definedName>
    <definedName name="Standard_A2_Disk">DefineByVMFootprint!$I$16</definedName>
    <definedName name="Standard_A2_Memory" localSheetId="9">#REF!</definedName>
    <definedName name="Standard_A2_Memory">DefineByVMFootprint!$E$16</definedName>
    <definedName name="Standard_A2_Temp" localSheetId="9">#REF!</definedName>
    <definedName name="Standard_A2_Temp">DefineByVMFootprint!$H$16</definedName>
    <definedName name="Standard_A2_v2_Cores" localSheetId="9">#REF!</definedName>
    <definedName name="Standard_A2_v2_Cores">DefineByVMFootprint!$D$24</definedName>
    <definedName name="Standard_A2_v2_Disk" localSheetId="9">#REF!</definedName>
    <definedName name="Standard_A2_v2_Disk">DefineByVMFootprint!$I$24</definedName>
    <definedName name="Standard_A2_v2_Memory" localSheetId="9">#REF!</definedName>
    <definedName name="Standard_A2_v2_Memory">DefineByVMFootprint!$E$24</definedName>
    <definedName name="Standard_A2_v2_Temp" localSheetId="9">#REF!</definedName>
    <definedName name="Standard_A2_v2_Temp">DefineByVMFootprint!$H$24</definedName>
    <definedName name="Standard_A2m_v2_Cores" localSheetId="9">#REF!</definedName>
    <definedName name="Standard_A2m_v2_Cores">DefineByVMFootprint!$D$27</definedName>
    <definedName name="Standard_A2m_v2_Disk" localSheetId="9">#REF!</definedName>
    <definedName name="Standard_A2m_v2_Disk">DefineByVMFootprint!$I$27</definedName>
    <definedName name="Standard_A2m_v2_Memory" localSheetId="9">#REF!</definedName>
    <definedName name="Standard_A2m_v2_Memory">DefineByVMFootprint!$E$27</definedName>
    <definedName name="Standard_A2m_v2_Temp" localSheetId="9">#REF!</definedName>
    <definedName name="Standard_A2m_v2_Temp">DefineByVMFootprint!$H$27</definedName>
    <definedName name="Standard_A3_Cores" localSheetId="9">#REF!</definedName>
    <definedName name="Standard_A3_Cores">DefineByVMFootprint!$D$17</definedName>
    <definedName name="Standard_A3_Disk" localSheetId="9">#REF!</definedName>
    <definedName name="Standard_A3_Disk">DefineByVMFootprint!$I$17</definedName>
    <definedName name="Standard_A3_Memory" localSheetId="9">#REF!</definedName>
    <definedName name="Standard_A3_Memory">DefineByVMFootprint!$E$17</definedName>
    <definedName name="Standard_A3_Temp" localSheetId="9">#REF!</definedName>
    <definedName name="Standard_A3_Temp">DefineByVMFootprint!$H$17</definedName>
    <definedName name="Standard_A4_Cores" localSheetId="9">#REF!</definedName>
    <definedName name="Standard_A4_Cores">DefineByVMFootprint!$D$18</definedName>
    <definedName name="Standard_A4_Disk" localSheetId="9">#REF!</definedName>
    <definedName name="Standard_A4_Disk">DefineByVMFootprint!$I$18</definedName>
    <definedName name="Standard_A4_Memory" localSheetId="9">#REF!</definedName>
    <definedName name="Standard_A4_Memory">DefineByVMFootprint!$E$18</definedName>
    <definedName name="Standard_A4_Temp" localSheetId="9">#REF!</definedName>
    <definedName name="Standard_A4_Temp">DefineByVMFootprint!$H$18</definedName>
    <definedName name="Standard_A4_v2_Cores" localSheetId="9">#REF!</definedName>
    <definedName name="Standard_A4_v2_Cores">DefineByVMFootprint!$D$25</definedName>
    <definedName name="Standard_A4_v2_Disk" localSheetId="9">#REF!</definedName>
    <definedName name="Standard_A4_v2_Disk">DefineByVMFootprint!$I$25</definedName>
    <definedName name="Standard_A4_v2_Memory" localSheetId="9">#REF!</definedName>
    <definedName name="Standard_A4_v2_Memory">DefineByVMFootprint!$E$25</definedName>
    <definedName name="Standard_A4_v2_Temp" localSheetId="9">#REF!</definedName>
    <definedName name="Standard_A4_v2_Temp">DefineByVMFootprint!$H$25</definedName>
    <definedName name="Standard_A4m_v2_Cores" localSheetId="9">#REF!</definedName>
    <definedName name="Standard_A4m_v2_Cores">DefineByVMFootprint!$D$28</definedName>
    <definedName name="Standard_A4m_v2_Disk" localSheetId="9">#REF!</definedName>
    <definedName name="Standard_A4m_v2_Disk">DefineByVMFootprint!$I$28</definedName>
    <definedName name="Standard_A4m_v2_Memory" localSheetId="9">#REF!</definedName>
    <definedName name="Standard_A4m_v2_Memory">DefineByVMFootprint!$E$28</definedName>
    <definedName name="Standard_A4m_v2_Temp" localSheetId="9">#REF!</definedName>
    <definedName name="Standard_A4m_v2_Temp">DefineByVMFootprint!$H$28</definedName>
    <definedName name="Standard_A5_Cores" localSheetId="9">#REF!</definedName>
    <definedName name="Standard_A5_Cores">DefineByVMFootprint!$D$19</definedName>
    <definedName name="Standard_A5_Disk" localSheetId="9">#REF!</definedName>
    <definedName name="Standard_A5_Disk">DefineByVMFootprint!$I$19</definedName>
    <definedName name="Standard_A5_Memory" localSheetId="9">#REF!</definedName>
    <definedName name="Standard_A5_Memory">DefineByVMFootprint!$E$19</definedName>
    <definedName name="Standard_A5_Temp" localSheetId="9">#REF!</definedName>
    <definedName name="Standard_A5_Temp">DefineByVMFootprint!$H$19</definedName>
    <definedName name="Standard_A6_Cores" localSheetId="9">#REF!</definedName>
    <definedName name="Standard_A6_Cores">DefineByVMFootprint!$D$20</definedName>
    <definedName name="Standard_A6_Disk" localSheetId="9">#REF!</definedName>
    <definedName name="Standard_A6_Disk">DefineByVMFootprint!$I$20</definedName>
    <definedName name="Standard_A6_Memory" localSheetId="9">#REF!</definedName>
    <definedName name="Standard_A6_Memory">DefineByVMFootprint!$E$20</definedName>
    <definedName name="Standard_A6_Temp" localSheetId="9">#REF!</definedName>
    <definedName name="Standard_A6_Temp">DefineByVMFootprint!$H$20</definedName>
    <definedName name="Standard_A7_Cores" localSheetId="9">#REF!</definedName>
    <definedName name="Standard_A7_Cores">DefineByVMFootprint!$D$21</definedName>
    <definedName name="Standard_A7_Disk" localSheetId="9">#REF!</definedName>
    <definedName name="Standard_A7_Disk">DefineByVMFootprint!$I$21</definedName>
    <definedName name="Standard_A7_Memory" localSheetId="9">#REF!</definedName>
    <definedName name="Standard_A7_Memory">DefineByVMFootprint!$E$21</definedName>
    <definedName name="Standard_A7_Temp" localSheetId="9">#REF!</definedName>
    <definedName name="Standard_A7_Temp">DefineByVMFootprint!$H$21</definedName>
    <definedName name="Standard_A8_v2_Cores" localSheetId="9">#REF!</definedName>
    <definedName name="Standard_A8_v2_Cores">DefineByVMFootprint!$D$26</definedName>
    <definedName name="Standard_A8_v2_Disk" localSheetId="9">#REF!</definedName>
    <definedName name="Standard_A8_v2_Disk">DefineByVMFootprint!$I$26</definedName>
    <definedName name="Standard_A8_v2_Memory" localSheetId="9">#REF!</definedName>
    <definedName name="Standard_A8_v2_Memory">DefineByVMFootprint!$E$26</definedName>
    <definedName name="Standard_A8_v2_Temp" localSheetId="9">#REF!</definedName>
    <definedName name="Standard_A8_v2_Temp">DefineByVMFootprint!$H$26</definedName>
    <definedName name="Standard_A8m_v2_Cores" localSheetId="9">#REF!</definedName>
    <definedName name="Standard_A8m_v2_Cores">DefineByVMFootprint!$D$29</definedName>
    <definedName name="Standard_A8m_v2_Disk" localSheetId="9">#REF!</definedName>
    <definedName name="Standard_A8m_v2_Disk">DefineByVMFootprint!$I$29</definedName>
    <definedName name="Standard_A8m_v2_Memory" localSheetId="9">#REF!</definedName>
    <definedName name="Standard_A8m_v2_Memory">DefineByVMFootprint!$E$29</definedName>
    <definedName name="Standard_A8m_v2_Temp" localSheetId="9">#REF!</definedName>
    <definedName name="Standard_A8m_v2_Temp">DefineByVMFootprint!$H$29</definedName>
    <definedName name="Standard_D1_Cores" localSheetId="9">#REF!</definedName>
    <definedName name="Standard_D1_Cores">DefineByVMFootprint!$D$31</definedName>
    <definedName name="Standard_D1_Disk" localSheetId="9">#REF!</definedName>
    <definedName name="Standard_D1_Disk">DefineByVMFootprint!$I$31</definedName>
    <definedName name="Standard_D1_Memory" localSheetId="9">#REF!</definedName>
    <definedName name="Standard_D1_Memory">DefineByVMFootprint!$E$31</definedName>
    <definedName name="Standard_D1_Temp" localSheetId="9">#REF!</definedName>
    <definedName name="Standard_D1_Temp">DefineByVMFootprint!$H$31</definedName>
    <definedName name="Standard_D1_v2_Cores" localSheetId="9">#REF!</definedName>
    <definedName name="Standard_D1_v2_Cores">DefineByVMFootprint!$D$41</definedName>
    <definedName name="Standard_D1_v2_Disk" localSheetId="9">#REF!</definedName>
    <definedName name="Standard_D1_v2_Disk">DefineByVMFootprint!$I$41</definedName>
    <definedName name="Standard_D1_v2_Memory" localSheetId="9">#REF!</definedName>
    <definedName name="Standard_D1_v2_Memory">DefineByVMFootprint!$E$41</definedName>
    <definedName name="Standard_D1_v2_Temp" localSheetId="9">#REF!</definedName>
    <definedName name="Standard_D1_v2_Temp">DefineByVMFootprint!$H$41</definedName>
    <definedName name="Standard_D11_Cores" localSheetId="9">#REF!</definedName>
    <definedName name="Standard_D11_Cores">DefineByVMFootprint!$D$67</definedName>
    <definedName name="Standard_D11_Disk" localSheetId="9">#REF!</definedName>
    <definedName name="Standard_D11_Disk">DefineByVMFootprint!$I$67</definedName>
    <definedName name="Standard_D11_Memory" localSheetId="9">#REF!</definedName>
    <definedName name="Standard_D11_Memory">DefineByVMFootprint!$E$67</definedName>
    <definedName name="Standard_D11_Temp" localSheetId="9">#REF!</definedName>
    <definedName name="Standard_D11_Temp">DefineByVMFootprint!$H$67</definedName>
    <definedName name="Standard_D11_v2_Cores" localSheetId="9">#REF!</definedName>
    <definedName name="Standard_D11_v2_Cores">DefineByVMFootprint!$D$77</definedName>
    <definedName name="Standard_D11_v2_Disk" localSheetId="9">#REF!</definedName>
    <definedName name="Standard_D11_v2_Disk">DefineByVMFootprint!$I$77</definedName>
    <definedName name="Standard_D11_v2_Memory" localSheetId="9">#REF!</definedName>
    <definedName name="Standard_D11_v2_Memory">DefineByVMFootprint!$E$77</definedName>
    <definedName name="Standard_D11_v2_Temp" localSheetId="9">#REF!</definedName>
    <definedName name="Standard_D11_v2_Temp">DefineByVMFootprint!$H$77</definedName>
    <definedName name="Standard_D12_Cores" localSheetId="9">#REF!</definedName>
    <definedName name="Standard_D12_Cores">DefineByVMFootprint!$D$68</definedName>
    <definedName name="Standard_D12_Disk" localSheetId="9">#REF!</definedName>
    <definedName name="Standard_D12_Disk">DefineByVMFootprint!$I$68</definedName>
    <definedName name="Standard_D12_Memory" localSheetId="9">#REF!</definedName>
    <definedName name="Standard_D12_Memory">DefineByVMFootprint!$E$68</definedName>
    <definedName name="Standard_D12_Temp" localSheetId="9">#REF!</definedName>
    <definedName name="Standard_D12_Temp">DefineByVMFootprint!$H$68</definedName>
    <definedName name="Standard_D12_v2_Cores" localSheetId="9">#REF!</definedName>
    <definedName name="Standard_D12_v2_Cores">DefineByVMFootprint!$D$78</definedName>
    <definedName name="Standard_D12_v2_Disk" localSheetId="9">#REF!</definedName>
    <definedName name="Standard_D12_v2_Disk">DefineByVMFootprint!$I$78</definedName>
    <definedName name="Standard_D12_v2_Memory" localSheetId="9">#REF!</definedName>
    <definedName name="Standard_D12_v2_Memory">DefineByVMFootprint!$E$78</definedName>
    <definedName name="Standard_D12_v2_Temp" localSheetId="9">#REF!</definedName>
    <definedName name="Standard_D12_v2_Temp">DefineByVMFootprint!$H$78</definedName>
    <definedName name="Standard_D13_Cores" localSheetId="9">#REF!</definedName>
    <definedName name="Standard_D13_Cores">DefineByVMFootprint!$D$69</definedName>
    <definedName name="Standard_D13_Disk" localSheetId="9">#REF!</definedName>
    <definedName name="Standard_D13_Disk">DefineByVMFootprint!$I$69</definedName>
    <definedName name="Standard_D13_Memory" localSheetId="9">#REF!</definedName>
    <definedName name="Standard_D13_Memory">DefineByVMFootprint!$E$69</definedName>
    <definedName name="Standard_D13_Temp" localSheetId="9">#REF!</definedName>
    <definedName name="Standard_D13_Temp">DefineByVMFootprint!$H$69</definedName>
    <definedName name="Standard_D13_v2_Cores" localSheetId="9">#REF!</definedName>
    <definedName name="Standard_D13_v2_Cores">DefineByVMFootprint!$D$79</definedName>
    <definedName name="Standard_D13_v2_Disk" localSheetId="9">#REF!</definedName>
    <definedName name="Standard_D13_v2_Disk">DefineByVMFootprint!$I$79</definedName>
    <definedName name="Standard_D13_v2_Memory" localSheetId="9">#REF!</definedName>
    <definedName name="Standard_D13_v2_Memory">DefineByVMFootprint!$E$79</definedName>
    <definedName name="Standard_D13_v2_Temp" localSheetId="9">#REF!</definedName>
    <definedName name="Standard_D13_v2_Temp">DefineByVMFootprint!$H$79</definedName>
    <definedName name="Standard_D14_Cores" localSheetId="9">#REF!</definedName>
    <definedName name="Standard_D14_Cores">DefineByVMFootprint!$D$70</definedName>
    <definedName name="Standard_D14_Disk" localSheetId="9">#REF!</definedName>
    <definedName name="Standard_D14_Disk">DefineByVMFootprint!$I$70</definedName>
    <definedName name="Standard_D14_Memory" localSheetId="9">#REF!</definedName>
    <definedName name="Standard_D14_Memory">DefineByVMFootprint!$E$70</definedName>
    <definedName name="Standard_D14_Temp" localSheetId="9">#REF!</definedName>
    <definedName name="Standard_D14_Temp">DefineByVMFootprint!$H$70</definedName>
    <definedName name="Standard_D14_v2_Cores" localSheetId="9">#REF!</definedName>
    <definedName name="Standard_D14_v2_Cores">DefineByVMFootprint!$D$80</definedName>
    <definedName name="Standard_D14_v2_Disk" localSheetId="9">#REF!</definedName>
    <definedName name="Standard_D14_v2_Disk">DefineByVMFootprint!$I$80</definedName>
    <definedName name="Standard_D14_v2_Memory" localSheetId="9">#REF!</definedName>
    <definedName name="Standard_D14_v2_Memory">DefineByVMFootprint!$E$80</definedName>
    <definedName name="Standard_D14_v2_Temp" localSheetId="9">#REF!</definedName>
    <definedName name="Standard_D14_v2_Temp">DefineByVMFootprint!$H$80</definedName>
    <definedName name="Standard_D16_V3_Cores">DefineByVMFootprint!$D$63</definedName>
    <definedName name="Standard_D16_V3_Disk">DefineByVMFootprint!$I$63</definedName>
    <definedName name="Standard_D16_V3_Memory">DefineByVMFootprint!$E$63</definedName>
    <definedName name="Standard_D16_V3_Temp">DefineByVMFootprint!$H$63</definedName>
    <definedName name="Standard_D2_Cores" localSheetId="9">#REF!</definedName>
    <definedName name="Standard_D2_Cores">DefineByVMFootprint!$D$32</definedName>
    <definedName name="Standard_D2_Disk" localSheetId="9">#REF!</definedName>
    <definedName name="Standard_D2_Disk">DefineByVMFootprint!$I$32</definedName>
    <definedName name="Standard_D2_Memory" localSheetId="9">#REF!</definedName>
    <definedName name="Standard_D2_Memory">DefineByVMFootprint!$E$32</definedName>
    <definedName name="Standard_D2_Temp" localSheetId="9">#REF!</definedName>
    <definedName name="Standard_D2_Temp">DefineByVMFootprint!$H$32</definedName>
    <definedName name="Standard_D2_v2_Cores" localSheetId="9">#REF!</definedName>
    <definedName name="Standard_D2_v2_Cores">DefineByVMFootprint!$D$42</definedName>
    <definedName name="Standard_D2_v2_Disk" localSheetId="9">#REF!</definedName>
    <definedName name="Standard_D2_v2_Disk">DefineByVMFootprint!$I$42</definedName>
    <definedName name="Standard_D2_v2_Memory" localSheetId="9">#REF!</definedName>
    <definedName name="Standard_D2_v2_Memory">DefineByVMFootprint!$E$42</definedName>
    <definedName name="Standard_D2_v2_Temp" localSheetId="9">#REF!</definedName>
    <definedName name="Standard_D2_v2_Temp">DefineByVMFootprint!$H$42</definedName>
    <definedName name="Standard_D2_V3_Cores">DefineByVMFootprint!$D$60</definedName>
    <definedName name="Standard_D2_V3_Disk">DefineByVMFootprint!$I$60</definedName>
    <definedName name="Standard_D2_V3_Memory">DefineByVMFootprint!$E$60</definedName>
    <definedName name="Standard_D2_V3_Temp">DefineByVMFootprint!$H$60</definedName>
    <definedName name="Standard_D3_Cores" localSheetId="9">#REF!</definedName>
    <definedName name="Standard_D3_Cores">DefineByVMFootprint!$D$33</definedName>
    <definedName name="Standard_D3_Disk" localSheetId="9">#REF!</definedName>
    <definedName name="Standard_D3_Disk">DefineByVMFootprint!$I$33</definedName>
    <definedName name="Standard_D3_Memory" localSheetId="9">#REF!</definedName>
    <definedName name="Standard_D3_Memory">DefineByVMFootprint!$E$33</definedName>
    <definedName name="Standard_D3_Temp" localSheetId="9">#REF!</definedName>
    <definedName name="Standard_D3_Temp">DefineByVMFootprint!$H$33</definedName>
    <definedName name="Standard_D3_v2_Cores" localSheetId="9">#REF!</definedName>
    <definedName name="Standard_D3_v2_Cores">DefineByVMFootprint!$D$43</definedName>
    <definedName name="Standard_D3_v2_Disk" localSheetId="9">#REF!</definedName>
    <definedName name="Standard_D3_v2_Disk">DefineByVMFootprint!$I$43</definedName>
    <definedName name="Standard_D3_v2_Memory" localSheetId="9">#REF!</definedName>
    <definedName name="Standard_D3_v2_Memory">DefineByVMFootprint!$E$43</definedName>
    <definedName name="Standard_D3_v2_Temp" localSheetId="9">#REF!</definedName>
    <definedName name="Standard_D3_v2_Temp">DefineByVMFootprint!$H$43</definedName>
    <definedName name="Standard_D32_V3_Cores">DefineByVMFootprint!$D$64</definedName>
    <definedName name="Standard_D32_V3_Disk">DefineByVMFootprint!$I$64</definedName>
    <definedName name="Standard_D32_V3_Memory">DefineByVMFootprint!$E$64</definedName>
    <definedName name="Standard_D32_V3_Temp">DefineByVMFootprint!$H$64</definedName>
    <definedName name="Standard_D4_Cores" localSheetId="9">#REF!</definedName>
    <definedName name="Standard_D4_Cores">DefineByVMFootprint!$D$34</definedName>
    <definedName name="Standard_D4_Disk" localSheetId="9">#REF!</definedName>
    <definedName name="Standard_D4_Disk">DefineByVMFootprint!$I$34</definedName>
    <definedName name="Standard_D4_Memory" localSheetId="9">#REF!</definedName>
    <definedName name="Standard_D4_Memory">DefineByVMFootprint!$E$34</definedName>
    <definedName name="Standard_D4_Temp" localSheetId="9">#REF!</definedName>
    <definedName name="Standard_D4_Temp">DefineByVMFootprint!$H$34</definedName>
    <definedName name="Standard_D4_v2_Cores" localSheetId="9">#REF!</definedName>
    <definedName name="Standard_D4_v2_Cores">DefineByVMFootprint!$D$44</definedName>
    <definedName name="Standard_D4_v2_Disk" localSheetId="9">#REF!</definedName>
    <definedName name="Standard_D4_v2_Disk">DefineByVMFootprint!$I$44</definedName>
    <definedName name="Standard_D4_v2_Memory" localSheetId="9">#REF!</definedName>
    <definedName name="Standard_D4_v2_Memory">DefineByVMFootprint!$E$44</definedName>
    <definedName name="Standard_D4_v2_Temp" localSheetId="9">#REF!</definedName>
    <definedName name="Standard_D4_v2_Temp">DefineByVMFootprint!$H$44</definedName>
    <definedName name="Standard_D4_V3_Cores">DefineByVMFootprint!$D$61</definedName>
    <definedName name="Standard_D4_V3_Disk">DefineByVMFootprint!$I$61</definedName>
    <definedName name="Standard_D4_V3_Memory">DefineByVMFootprint!$E$61</definedName>
    <definedName name="Standard_D4_V3_Temp">DefineByVMFootprint!$H$61</definedName>
    <definedName name="Standard_D48_V3_Cores">DefineByVMFootprint!#REF!</definedName>
    <definedName name="Standard_D48_V3_Disk">DefineByVMFootprint!#REF!</definedName>
    <definedName name="Standard_D48_V3_Memory">DefineByVMFootprint!#REF!</definedName>
    <definedName name="Standard_D48_V3_Temp">DefineByVMFootprint!#REF!</definedName>
    <definedName name="Standard_D5_v2_Cores" localSheetId="9">#REF!</definedName>
    <definedName name="Standard_D5_v2_Cores">DefineByVMFootprint!$D$45</definedName>
    <definedName name="Standard_D5_v2_Disk" localSheetId="9">#REF!</definedName>
    <definedName name="Standard_D5_v2_Disk">DefineByVMFootprint!$I$45</definedName>
    <definedName name="Standard_D5_v2_Memory" localSheetId="9">#REF!</definedName>
    <definedName name="Standard_D5_v2_Memory">DefineByVMFootprint!$E$45</definedName>
    <definedName name="Standard_D5_v2_Temp" localSheetId="9">#REF!</definedName>
    <definedName name="Standard_D5_v2_Temp">DefineByVMFootprint!$H$45</definedName>
    <definedName name="Standard_D64_V3_Cores">DefineByVMFootprint!#REF!</definedName>
    <definedName name="Standard_D64_V3_Disk">DefineByVMFootprint!#REF!</definedName>
    <definedName name="Standard_D64_V3_Memory">DefineByVMFootprint!#REF!</definedName>
    <definedName name="Standard_D64_V3_Temp">DefineByVMFootprint!#REF!</definedName>
    <definedName name="Standard_D8_V3_Cores">DefineByVMFootprint!$D$62</definedName>
    <definedName name="Standard_D8_V3_Disk">DefineByVMFootprint!$I$62</definedName>
    <definedName name="Standard_D8_V3_Memory">DefineByVMFootprint!$E$62</definedName>
    <definedName name="Standard_D8_V3_Temp">DefineByVMFootprint!$H$62</definedName>
    <definedName name="Standard_DS1_Cores" localSheetId="9">#REF!</definedName>
    <definedName name="Standard_DS1_Cores">DefineByVMFootprint!$D$36</definedName>
    <definedName name="Standard_DS1_Disk" localSheetId="9">#REF!</definedName>
    <definedName name="Standard_DS1_Disk">DefineByVMFootprint!$I$36</definedName>
    <definedName name="Standard_DS1_Memory" localSheetId="9">#REF!</definedName>
    <definedName name="Standard_DS1_Memory">DefineByVMFootprint!$E$36</definedName>
    <definedName name="Standard_DS1_Temp" localSheetId="9">#REF!</definedName>
    <definedName name="Standard_DS1_Temp">DefineByVMFootprint!$H$36</definedName>
    <definedName name="Standard_DS1_v2_Cores" localSheetId="9">#REF!</definedName>
    <definedName name="Standard_DS1_v2_Cores">DefineByVMFootprint!$D$47</definedName>
    <definedName name="Standard_DS1_v2_Disk" localSheetId="9">#REF!</definedName>
    <definedName name="Standard_DS1_v2_Disk">DefineByVMFootprint!$I$47</definedName>
    <definedName name="Standard_DS1_v2_Memory" localSheetId="9">#REF!</definedName>
    <definedName name="Standard_DS1_v2_Memory">DefineByVMFootprint!$E$47</definedName>
    <definedName name="Standard_DS1_v2_Temp" localSheetId="9">#REF!</definedName>
    <definedName name="Standard_DS1_v2_Temp">DefineByVMFootprint!$H$47</definedName>
    <definedName name="Standard_DS11_1_v2_Cores">DefineByVMFootprint!$D$52</definedName>
    <definedName name="Standard_DS11_1_v2_Disk">DefineByVMFootprint!$I$52</definedName>
    <definedName name="Standard_DS11_1_v2_Memory">DefineByVMFootprint!$E$52</definedName>
    <definedName name="Standard_DS11_1_v2_Temp">DefineByVMFootprint!$H$52</definedName>
    <definedName name="Standard_DS11_Cores" localSheetId="9">#REF!</definedName>
    <definedName name="Standard_DS11_Cores">DefineByVMFootprint!$D$72</definedName>
    <definedName name="Standard_DS11_Disk" localSheetId="9">#REF!</definedName>
    <definedName name="Standard_DS11_Disk">DefineByVMFootprint!$I$72</definedName>
    <definedName name="Standard_DS11_Memory" localSheetId="9">#REF!</definedName>
    <definedName name="Standard_DS11_Memory">DefineByVMFootprint!$E$72</definedName>
    <definedName name="Standard_DS11_Temp" localSheetId="9">#REF!</definedName>
    <definedName name="Standard_DS11_Temp">DefineByVMFootprint!$H$72</definedName>
    <definedName name="Standard_DS11_v2_Cores" localSheetId="9">#REF!</definedName>
    <definedName name="Standard_DS11_v2_Cores">DefineByVMFootprint!$D$82</definedName>
    <definedName name="Standard_DS11_v2_Disk" localSheetId="9">#REF!</definedName>
    <definedName name="Standard_DS11_v2_Disk">DefineByVMFootprint!$I$82</definedName>
    <definedName name="Standard_DS11_v2_Memory" localSheetId="9">#REF!</definedName>
    <definedName name="Standard_DS11_v2_Memory">DefineByVMFootprint!$E$82</definedName>
    <definedName name="Standard_DS11_v2_Temp" localSheetId="9">#REF!</definedName>
    <definedName name="Standard_DS11_v2_Temp">DefineByVMFootprint!$H$82</definedName>
    <definedName name="Standard_DS12_1_v2_Cores">DefineByVMFootprint!$D$53</definedName>
    <definedName name="Standard_DS12_1_v2_Disk">DefineByVMFootprint!$I$53</definedName>
    <definedName name="Standard_DS12_1_v2_Memory">DefineByVMFootprint!$E$53</definedName>
    <definedName name="Standard_DS12_1_v2_Temp">DefineByVMFootprint!$H$53</definedName>
    <definedName name="Standard_DS12_2_v2_Cores">DefineByVMFootprint!$D$54</definedName>
    <definedName name="Standard_DS12_2_v2_Disk">DefineByVMFootprint!$I$54</definedName>
    <definedName name="Standard_DS12_2_v2_Memory">DefineByVMFootprint!$E$54</definedName>
    <definedName name="Standard_DS12_2_v2_Temp">DefineByVMFootprint!$H$54</definedName>
    <definedName name="Standard_DS12_Cores" localSheetId="9">#REF!</definedName>
    <definedName name="Standard_DS12_Cores">DefineByVMFootprint!$D$73</definedName>
    <definedName name="Standard_DS12_Disk" localSheetId="9">#REF!</definedName>
    <definedName name="Standard_DS12_Disk">DefineByVMFootprint!$I$73</definedName>
    <definedName name="Standard_DS12_Memory" localSheetId="9">#REF!</definedName>
    <definedName name="Standard_DS12_Memory">DefineByVMFootprint!$E$73</definedName>
    <definedName name="Standard_DS12_Temp" localSheetId="9">#REF!</definedName>
    <definedName name="Standard_DS12_Temp">DefineByVMFootprint!$H$73</definedName>
    <definedName name="Standard_DS12_v2_Cores" localSheetId="9">#REF!</definedName>
    <definedName name="Standard_DS12_v2_Cores">DefineByVMFootprint!$D$83</definedName>
    <definedName name="Standard_DS12_v2_Disk" localSheetId="9">#REF!</definedName>
    <definedName name="Standard_DS12_v2_Disk">DefineByVMFootprint!$I$83</definedName>
    <definedName name="Standard_DS12_v2_Memory" localSheetId="9">#REF!</definedName>
    <definedName name="Standard_DS12_v2_Memory">DefineByVMFootprint!$E$83</definedName>
    <definedName name="Standard_DS12_v2_Temp" localSheetId="9">#REF!</definedName>
    <definedName name="Standard_DS12_v2_Temp">DefineByVMFootprint!$H$83</definedName>
    <definedName name="Standard_DS13_2_v2_Cores">DefineByVMFootprint!$D$56</definedName>
    <definedName name="Standard_DS13_2_v2_Disk">DefineByVMFootprint!$I$56</definedName>
    <definedName name="Standard_DS13_2_v2_Memory">DefineByVMFootprint!$E$56</definedName>
    <definedName name="Standard_DS13_2_v2_Temp">DefineByVMFootprint!$H$56</definedName>
    <definedName name="Standard_DS13_4_v2_Cores">DefineByVMFootprint!$D$55</definedName>
    <definedName name="Standard_DS13_4_v2_Disk">DefineByVMFootprint!$I$55</definedName>
    <definedName name="Standard_DS13_4_v2_Memory">DefineByVMFootprint!$E$55</definedName>
    <definedName name="Standard_DS13_4_v2_Temp">DefineByVMFootprint!$H$55</definedName>
    <definedName name="Standard_DS13_Cores" localSheetId="9">#REF!</definedName>
    <definedName name="Standard_DS13_Cores">DefineByVMFootprint!$D$74</definedName>
    <definedName name="Standard_DS13_Disk" localSheetId="9">#REF!</definedName>
    <definedName name="Standard_DS13_Disk">DefineByVMFootprint!$I$74</definedName>
    <definedName name="Standard_DS13_Memory" localSheetId="9">#REF!</definedName>
    <definedName name="Standard_DS13_Memory">DefineByVMFootprint!$E$74</definedName>
    <definedName name="Standard_DS13_Temp" localSheetId="9">#REF!</definedName>
    <definedName name="Standard_DS13_Temp">DefineByVMFootprint!$H$74</definedName>
    <definedName name="Standard_DS13_v2_Cores" localSheetId="9">#REF!</definedName>
    <definedName name="Standard_DS13_v2_Cores">DefineByVMFootprint!$D$84</definedName>
    <definedName name="Standard_DS13_v2_Disk" localSheetId="9">#REF!</definedName>
    <definedName name="Standard_DS13_v2_Disk">DefineByVMFootprint!$I$84</definedName>
    <definedName name="Standard_DS13_v2_Memory" localSheetId="9">#REF!</definedName>
    <definedName name="Standard_DS13_v2_Memory">DefineByVMFootprint!$E$84</definedName>
    <definedName name="Standard_DS13_v2_Temp" localSheetId="9">#REF!</definedName>
    <definedName name="Standard_DS13_v2_Temp">DefineByVMFootprint!$H$84</definedName>
    <definedName name="Standard_DS14_4_v2_Cores">DefineByVMFootprint!$D$58</definedName>
    <definedName name="Standard_DS14_4_v2_Disk">DefineByVMFootprint!$I$58</definedName>
    <definedName name="Standard_DS14_4_v2_Memory">DefineByVMFootprint!$E$58</definedName>
    <definedName name="Standard_DS14_4_v2_Temp">DefineByVMFootprint!$H$58</definedName>
    <definedName name="Standard_DS14_8_v2_Cores">DefineByVMFootprint!$D$57</definedName>
    <definedName name="Standard_DS14_8_v2_Disk">DefineByVMFootprint!$I$57</definedName>
    <definedName name="Standard_DS14_8_v2_Memory">DefineByVMFootprint!$E$57</definedName>
    <definedName name="Standard_DS14_8_v2_Temp">DefineByVMFootprint!$H$57</definedName>
    <definedName name="Standard_DS14_Cores" localSheetId="9">#REF!</definedName>
    <definedName name="Standard_DS14_Cores">DefineByVMFootprint!$D$75</definedName>
    <definedName name="Standard_DS14_Disk" localSheetId="9">#REF!</definedName>
    <definedName name="Standard_DS14_Disk">DefineByVMFootprint!$I$75</definedName>
    <definedName name="Standard_DS14_Memory" localSheetId="9">#REF!</definedName>
    <definedName name="Standard_DS14_Memory">DefineByVMFootprint!$E$75</definedName>
    <definedName name="Standard_DS14_Temp" localSheetId="9">#REF!</definedName>
    <definedName name="Standard_DS14_Temp">DefineByVMFootprint!$H$75</definedName>
    <definedName name="Standard_DS14_v2_Cores" localSheetId="9">#REF!</definedName>
    <definedName name="Standard_DS14_v2_Cores">DefineByVMFootprint!$D$85</definedName>
    <definedName name="Standard_DS14_v2_Disk" localSheetId="9">#REF!</definedName>
    <definedName name="Standard_DS14_v2_Disk">DefineByVMFootprint!$I$85</definedName>
    <definedName name="Standard_DS14_v2_Memory" localSheetId="9">#REF!</definedName>
    <definedName name="Standard_DS14_v2_Memory">DefineByVMFootprint!$E$85</definedName>
    <definedName name="Standard_DS14_v2_Temp" localSheetId="9">#REF!</definedName>
    <definedName name="Standard_DS14_v2_Temp">DefineByVMFootprint!$H$85</definedName>
    <definedName name="Standard_DS2_Cores" localSheetId="9">#REF!</definedName>
    <definedName name="Standard_DS2_Cores">DefineByVMFootprint!$D$37</definedName>
    <definedName name="Standard_DS2_Disk" localSheetId="9">#REF!</definedName>
    <definedName name="Standard_DS2_Disk">DefineByVMFootprint!$I$37</definedName>
    <definedName name="Standard_DS2_Memory" localSheetId="9">#REF!</definedName>
    <definedName name="Standard_DS2_Memory">DefineByVMFootprint!$E$37</definedName>
    <definedName name="Standard_DS2_Temp" localSheetId="9">#REF!</definedName>
    <definedName name="Standard_DS2_Temp">DefineByVMFootprint!$H$37</definedName>
    <definedName name="Standard_DS2_v2_Cores" localSheetId="9">#REF!</definedName>
    <definedName name="Standard_DS2_v2_Cores">DefineByVMFootprint!$D$48</definedName>
    <definedName name="Standard_DS2_v2_Disk" localSheetId="9">#REF!</definedName>
    <definedName name="Standard_DS2_v2_Disk">DefineByVMFootprint!$I$48</definedName>
    <definedName name="Standard_DS2_v2_Memory" localSheetId="9">#REF!</definedName>
    <definedName name="Standard_DS2_v2_Memory">DefineByVMFootprint!$E$48</definedName>
    <definedName name="Standard_DS2_v2_Temp" localSheetId="9">#REF!</definedName>
    <definedName name="Standard_DS2_v2_Temp">DefineByVMFootprint!$H$48</definedName>
    <definedName name="Standard_DS3_Cores" localSheetId="9">#REF!</definedName>
    <definedName name="Standard_DS3_Cores">DefineByVMFootprint!$D$38</definedName>
    <definedName name="Standard_DS3_Disk" localSheetId="9">#REF!</definedName>
    <definedName name="Standard_DS3_Disk">DefineByVMFootprint!$I$38</definedName>
    <definedName name="Standard_DS3_Memory" localSheetId="9">#REF!</definedName>
    <definedName name="Standard_DS3_Memory">DefineByVMFootprint!$E$38</definedName>
    <definedName name="Standard_DS3_Temp" localSheetId="9">#REF!</definedName>
    <definedName name="Standard_DS3_Temp">DefineByVMFootprint!$H$38</definedName>
    <definedName name="Standard_DS3_v2_Cores" localSheetId="9">#REF!</definedName>
    <definedName name="Standard_DS3_v2_Cores">DefineByVMFootprint!$D$49</definedName>
    <definedName name="Standard_DS3_v2_Disk" localSheetId="9">#REF!</definedName>
    <definedName name="Standard_DS3_v2_Disk">DefineByVMFootprint!$I$49</definedName>
    <definedName name="Standard_DS3_v2_Memory" localSheetId="9">#REF!</definedName>
    <definedName name="Standard_DS3_v2_Memory">DefineByVMFootprint!$E$49</definedName>
    <definedName name="Standard_DS3_v2_Temp" localSheetId="9">#REF!</definedName>
    <definedName name="Standard_DS3_v2_Temp">DefineByVMFootprint!$H$49</definedName>
    <definedName name="Standard_DS4_Cores" localSheetId="9">#REF!</definedName>
    <definedName name="Standard_DS4_Cores">DefineByVMFootprint!$D$39</definedName>
    <definedName name="Standard_DS4_Disk" localSheetId="9">#REF!</definedName>
    <definedName name="Standard_DS4_Disk">DefineByVMFootprint!$I$39</definedName>
    <definedName name="Standard_DS4_Memory" localSheetId="9">#REF!</definedName>
    <definedName name="Standard_DS4_Memory">DefineByVMFootprint!$E$39</definedName>
    <definedName name="Standard_DS4_Temp" localSheetId="9">#REF!</definedName>
    <definedName name="Standard_DS4_Temp">DefineByVMFootprint!$H$39</definedName>
    <definedName name="Standard_DS4_v2_Cores" localSheetId="9">#REF!</definedName>
    <definedName name="Standard_DS4_v2_Cores">DefineByVMFootprint!$D$50</definedName>
    <definedName name="Standard_DS4_v2_Disk" localSheetId="9">#REF!</definedName>
    <definedName name="Standard_DS4_v2_Disk">DefineByVMFootprint!$I$50</definedName>
    <definedName name="Standard_DS4_v2_Memory" localSheetId="9">#REF!</definedName>
    <definedName name="Standard_DS4_v2_Memory">DefineByVMFootprint!$E$50</definedName>
    <definedName name="Standard_DS4_v2_Temp" localSheetId="9">#REF!</definedName>
    <definedName name="Standard_DS4_v2_Temp">DefineByVMFootprint!$H$50</definedName>
    <definedName name="Standard_DS5_v2_Cores" localSheetId="9">#REF!</definedName>
    <definedName name="Standard_DS5_v2_Cores">DefineByVMFootprint!$D$51</definedName>
    <definedName name="Standard_DS5_v2_Disk" localSheetId="9">#REF!</definedName>
    <definedName name="Standard_DS5_v2_Disk">DefineByVMFootprint!$I$51</definedName>
    <definedName name="Standard_DS5_v2_Memory" localSheetId="9">#REF!</definedName>
    <definedName name="Standard_DS5_v2_Memory">DefineByVMFootprint!$E$51</definedName>
    <definedName name="Standard_DS5_v2_Temp" localSheetId="9">#REF!</definedName>
    <definedName name="Standard_DS5_v2_Temp">DefineByVMFootprint!$H$51</definedName>
    <definedName name="Standard_E16_v3_Cores">DefineByVMFootprint!$D$90</definedName>
    <definedName name="Standard_E16_v3_Disk">DefineByVMFootprint!$I$90</definedName>
    <definedName name="Standard_E16_v3_Memory">DefineByVMFootprint!$E$90</definedName>
    <definedName name="Standard_E16_v3_Temp">DefineByVMFootprint!$H$90</definedName>
    <definedName name="Standard_E2_v3_Cores">DefineByVMFootprint!$D$87</definedName>
    <definedName name="Standard_E2_v3_Disk">DefineByVMFootprint!$I$87</definedName>
    <definedName name="Standard_E2_v3_Memory">DefineByVMFootprint!$E$87</definedName>
    <definedName name="Standard_E2_v3_Temp">DefineByVMFootprint!$H$87</definedName>
    <definedName name="Standard_E20_v3_Cores">DefineByVMFootprint!$D$91</definedName>
    <definedName name="Standard_E20_v3_Disk">DefineByVMFootprint!$I$91</definedName>
    <definedName name="Standard_E20_v3_Memory">DefineByVMFootprint!$E$91</definedName>
    <definedName name="Standard_E20_v3_Temp">DefineByVMFootprint!$H$91</definedName>
    <definedName name="Standard_E32_v3_Cores">DefineByVMFootprint!#REF!</definedName>
    <definedName name="Standard_E32_v3_Disk">DefineByVMFootprint!#REF!</definedName>
    <definedName name="Standard_E32_v3_Memory">DefineByVMFootprint!#REF!</definedName>
    <definedName name="Standard_E32_v3_Temp">DefineByVMFootprint!#REF!</definedName>
    <definedName name="Standard_E4_v3_Cores">DefineByVMFootprint!$D$88</definedName>
    <definedName name="Standard_E4_v3_Disk">DefineByVMFootprint!$I$88</definedName>
    <definedName name="Standard_E4_v3_Memory">DefineByVMFootprint!$E$88</definedName>
    <definedName name="Standard_E4_v3_Temp">DefineByVMFootprint!$H$88</definedName>
    <definedName name="Standard_E48_v3_Cores">DefineByVMFootprint!#REF!</definedName>
    <definedName name="Standard_E48_v3_Disk">DefineByVMFootprint!#REF!</definedName>
    <definedName name="Standard_E48_v3_Memory">DefineByVMFootprint!#REF!</definedName>
    <definedName name="Standard_E48_v3_Temp">DefineByVMFootprint!#REF!</definedName>
    <definedName name="Standard_E64_v3_Cores">DefineByVMFootprint!#REF!</definedName>
    <definedName name="Standard_E64_v3_Disk">DefineByVMFootprint!#REF!</definedName>
    <definedName name="Standard_E64_v3_Memory">DefineByVMFootprint!#REF!</definedName>
    <definedName name="Standard_E64_v3_Temp">DefineByVMFootprint!#REF!</definedName>
    <definedName name="Standard_E64i_v3_Cores">DefineByVMFootprint!#REF!</definedName>
    <definedName name="Standard_E64i_v3_Disk">DefineByVMFootprint!#REF!</definedName>
    <definedName name="Standard_E64i_v3_Memory">DefineByVMFootprint!#REF!</definedName>
    <definedName name="Standard_E64i_v3_Temp">DefineByVMFootprint!#REF!</definedName>
    <definedName name="Standard_E8_v3_Cores">DefineByVMFootprint!$D$89</definedName>
    <definedName name="Standard_E8_v3_Disk">DefineByVMFootprint!$I$89</definedName>
    <definedName name="Standard_E8_v3_Memory">DefineByVMFootprint!$E$89</definedName>
    <definedName name="Standard_E8_v3_Temp">DefineByVMFootprint!$H$89</definedName>
    <definedName name="Standard_F1_cores" localSheetId="9">#REF!</definedName>
    <definedName name="Standard_F1_cores">DefineByVMFootprint!$D$94</definedName>
    <definedName name="Standard_F1_Disk" localSheetId="9">#REF!</definedName>
    <definedName name="Standard_F1_Disk">DefineByVMFootprint!$I$94</definedName>
    <definedName name="Standard_F1_Memory" localSheetId="9">#REF!</definedName>
    <definedName name="Standard_F1_Memory">DefineByVMFootprint!$E$94</definedName>
    <definedName name="Standard_F1_Temp" localSheetId="9">#REF!</definedName>
    <definedName name="Standard_F1_Temp">DefineByVMFootprint!$H$94</definedName>
    <definedName name="Standard_F16_cores" localSheetId="9">#REF!</definedName>
    <definedName name="Standard_F16_cores">DefineByVMFootprint!$D$98</definedName>
    <definedName name="Standard_F16_Disk" localSheetId="9">#REF!</definedName>
    <definedName name="Standard_F16_Disk">DefineByVMFootprint!$I$98</definedName>
    <definedName name="Standard_F16_Memory" localSheetId="9">#REF!</definedName>
    <definedName name="Standard_F16_Memory">DefineByVMFootprint!$E$98</definedName>
    <definedName name="Standard_F16_Temp" localSheetId="9">#REF!</definedName>
    <definedName name="Standard_F16_Temp">DefineByVMFootprint!$H$98</definedName>
    <definedName name="Standard_F16s_cores" localSheetId="9">#REF!</definedName>
    <definedName name="Standard_F16s_cores">DefineByVMFootprint!$D$104</definedName>
    <definedName name="Standard_F16s_Disk" localSheetId="9">#REF!</definedName>
    <definedName name="Standard_F16s_Disk">DefineByVMFootprint!$I$104</definedName>
    <definedName name="Standard_F16s_Memory" localSheetId="9">#REF!</definedName>
    <definedName name="Standard_F16s_Memory">DefineByVMFootprint!$E$104</definedName>
    <definedName name="Standard_F16s_Temp" localSheetId="9">#REF!</definedName>
    <definedName name="Standard_F16s_Temp">DefineByVMFootprint!$H$104</definedName>
    <definedName name="Standard_F16s_v2_Cores" localSheetId="9">#REF!</definedName>
    <definedName name="Standard_F16s_v2_Cores">DefineByVMFootprint!$D$109</definedName>
    <definedName name="Standard_F16s_v2_Disk" localSheetId="9">#REF!</definedName>
    <definedName name="Standard_F16s_v2_Disk">DefineByVMFootprint!$I$109</definedName>
    <definedName name="Standard_F16s_v2_Memory" localSheetId="9">#REF!</definedName>
    <definedName name="Standard_F16s_v2_Memory">DefineByVMFootprint!$E$109</definedName>
    <definedName name="Standard_F16s_v2_Temp" localSheetId="9">#REF!</definedName>
    <definedName name="Standard_F16s_v2_Temp">DefineByVMFootprint!$H$109</definedName>
    <definedName name="Standard_F1s_cores" localSheetId="9">#REF!</definedName>
    <definedName name="Standard_F1s_cores">DefineByVMFootprint!$D$100</definedName>
    <definedName name="Standard_F1s_Disk" localSheetId="9">#REF!</definedName>
    <definedName name="Standard_F1s_Disk">DefineByVMFootprint!$I$100</definedName>
    <definedName name="Standard_F1s_Memory" localSheetId="9">#REF!</definedName>
    <definedName name="Standard_F1s_Memory">DefineByVMFootprint!$E$100</definedName>
    <definedName name="Standard_F1s_Temp" localSheetId="9">#REF!</definedName>
    <definedName name="Standard_F1s_Temp">DefineByVMFootprint!$H$100</definedName>
    <definedName name="Standard_F2_cores" localSheetId="9">#REF!</definedName>
    <definedName name="Standard_F2_cores">DefineByVMFootprint!$D$95</definedName>
    <definedName name="Standard_F2_Disk" localSheetId="9">#REF!</definedName>
    <definedName name="Standard_F2_Disk">DefineByVMFootprint!$I$95</definedName>
    <definedName name="Standard_F2_Memory" localSheetId="9">#REF!</definedName>
    <definedName name="Standard_F2_Memory">DefineByVMFootprint!$E$95</definedName>
    <definedName name="Standard_F2_Temp" localSheetId="9">#REF!</definedName>
    <definedName name="Standard_F2_Temp">DefineByVMFootprint!$H$95</definedName>
    <definedName name="Standard_F2s_cores" localSheetId="9">#REF!</definedName>
    <definedName name="Standard_F2s_cores">DefineByVMFootprint!$D$101</definedName>
    <definedName name="Standard_F2s_Disk" localSheetId="9">#REF!</definedName>
    <definedName name="Standard_F2s_Disk">DefineByVMFootprint!$I$101</definedName>
    <definedName name="Standard_F2s_Memory" localSheetId="9">#REF!</definedName>
    <definedName name="Standard_F2s_Memory">DefineByVMFootprint!$E$101</definedName>
    <definedName name="Standard_F2s_Temp" localSheetId="9">#REF!</definedName>
    <definedName name="Standard_F2s_Temp">DefineByVMFootprint!$H$101</definedName>
    <definedName name="Standard_F2s_v2_Cores" localSheetId="9">#REF!</definedName>
    <definedName name="Standard_F2s_v2_Cores">DefineByVMFootprint!$D$106</definedName>
    <definedName name="Standard_F2s_v2_Disk" localSheetId="9">#REF!</definedName>
    <definedName name="Standard_F2s_v2_Disk">DefineByVMFootprint!$I$106</definedName>
    <definedName name="Standard_F2s_v2_Memory" localSheetId="9">#REF!</definedName>
    <definedName name="Standard_F2s_v2_Memory">DefineByVMFootprint!$E$106</definedName>
    <definedName name="Standard_F2s_v2_Temp" localSheetId="9">#REF!</definedName>
    <definedName name="Standard_F2s_v2_Temp">DefineByVMFootprint!$H$106</definedName>
    <definedName name="Standard_F32s_v2_Cores" localSheetId="9">#REF!</definedName>
    <definedName name="Standard_F32s_v2_Cores">DefineByVMFootprint!$D$110</definedName>
    <definedName name="Standard_F32s_v2_Disk" localSheetId="9">#REF!</definedName>
    <definedName name="Standard_F32s_v2_Disk">DefineByVMFootprint!$I$110</definedName>
    <definedName name="Standard_F32s_v2_Memory" localSheetId="9">#REF!</definedName>
    <definedName name="Standard_F32s_v2_Memory">DefineByVMFootprint!$E$110</definedName>
    <definedName name="Standard_F32s_v2_Temp" localSheetId="9">#REF!</definedName>
    <definedName name="Standard_F32s_v2_Temp">DefineByVMFootprint!$H$110</definedName>
    <definedName name="Standard_F4_Cores" localSheetId="9">#REF!</definedName>
    <definedName name="Standard_F4_Cores">DefineByVMFootprint!$D$96</definedName>
    <definedName name="Standard_F4_Disk" localSheetId="9">#REF!</definedName>
    <definedName name="Standard_F4_Disk">DefineByVMFootprint!$I$96</definedName>
    <definedName name="Standard_F4_Memory" localSheetId="9">#REF!</definedName>
    <definedName name="Standard_F4_Memory">DefineByVMFootprint!$E$96</definedName>
    <definedName name="Standard_F4_Temp" localSheetId="9">#REF!</definedName>
    <definedName name="Standard_F4_Temp">DefineByVMFootprint!$H$96</definedName>
    <definedName name="Standard_F4s_Cores" localSheetId="9">#REF!</definedName>
    <definedName name="Standard_F4s_Cores">DefineByVMFootprint!$D$102</definedName>
    <definedName name="Standard_F4s_Disk" localSheetId="9">#REF!</definedName>
    <definedName name="Standard_F4s_Disk">DefineByVMFootprint!$I$102</definedName>
    <definedName name="Standard_F4s_Memory" localSheetId="9">#REF!</definedName>
    <definedName name="Standard_F4s_Memory">DefineByVMFootprint!$E$102</definedName>
    <definedName name="Standard_F4s_Temp" localSheetId="9">#REF!</definedName>
    <definedName name="Standard_F4s_Temp">DefineByVMFootprint!$H$102</definedName>
    <definedName name="Standard_F4s_v2_Cores" localSheetId="9">#REF!</definedName>
    <definedName name="Standard_F4s_v2_Cores">DefineByVMFootprint!$D$107</definedName>
    <definedName name="Standard_F4s_v2_Disk" localSheetId="9">#REF!</definedName>
    <definedName name="Standard_F4s_v2_Disk">DefineByVMFootprint!$I$107</definedName>
    <definedName name="Standard_F4s_v2_Memory" localSheetId="9">#REF!</definedName>
    <definedName name="Standard_F4s_v2_Memory">DefineByVMFootprint!$E$107</definedName>
    <definedName name="Standard_F4s_v2_Temp" localSheetId="9">#REF!</definedName>
    <definedName name="Standard_F4s_v2_Temp">DefineByVMFootprint!$H$107</definedName>
    <definedName name="Standard_F64s_v2_Cores" localSheetId="9">#REF!</definedName>
    <definedName name="Standard_F64s_v2_Cores">DefineByVMFootprint!$D$111</definedName>
    <definedName name="Standard_F64s_v2_Disk" localSheetId="9">#REF!</definedName>
    <definedName name="Standard_F64s_v2_Disk">DefineByVMFootprint!$I$111</definedName>
    <definedName name="Standard_F64s_v2_Memory" localSheetId="9">#REF!</definedName>
    <definedName name="Standard_F64s_v2_Memory">DefineByVMFootprint!$E$111</definedName>
    <definedName name="Standard_F64s_v2_Temp" localSheetId="9">#REF!</definedName>
    <definedName name="Standard_F64s_v2_Temp">DefineByVMFootprint!$H$111</definedName>
    <definedName name="Standard_F8_cores" localSheetId="9">#REF!</definedName>
    <definedName name="Standard_F8_cores">DefineByVMFootprint!$D$97</definedName>
    <definedName name="Standard_F8_Disk" localSheetId="9">#REF!</definedName>
    <definedName name="Standard_F8_Disk">DefineByVMFootprint!$I$97</definedName>
    <definedName name="Standard_F8_Memory" localSheetId="9">#REF!</definedName>
    <definedName name="Standard_F8_Memory">DefineByVMFootprint!$E$97</definedName>
    <definedName name="Standard_F8_Temp" localSheetId="9">#REF!</definedName>
    <definedName name="Standard_F8_Temp">DefineByVMFootprint!$H$97</definedName>
    <definedName name="Standard_F8s_cores" localSheetId="9">#REF!</definedName>
    <definedName name="Standard_F8s_cores">DefineByVMFootprint!$D$103</definedName>
    <definedName name="Standard_F8s_Disk" localSheetId="9">#REF!</definedName>
    <definedName name="Standard_F8s_Disk">DefineByVMFootprint!$I$103</definedName>
    <definedName name="Standard_F8s_Memory" localSheetId="9">#REF!</definedName>
    <definedName name="Standard_F8s_Memory">DefineByVMFootprint!$E$103</definedName>
    <definedName name="Standard_F8s_Temp" localSheetId="9">#REF!</definedName>
    <definedName name="Standard_F8s_Temp">DefineByVMFootprint!$H$103</definedName>
    <definedName name="Standard_F8s_v2_Cores" localSheetId="9">#REF!</definedName>
    <definedName name="Standard_F8s_v2_Cores">DefineByVMFootprint!$D$108</definedName>
    <definedName name="Standard_F8s_v2_Disk" localSheetId="9">#REF!</definedName>
    <definedName name="Standard_F8s_v2_Disk">DefineByVMFootprint!$I$108</definedName>
    <definedName name="Standard_F8s_v2_Memory" localSheetId="9">#REF!</definedName>
    <definedName name="Standard_F8s_v2_Memory">DefineByVMFootprint!$E$108</definedName>
    <definedName name="Standard_F8s_v2_Temp" localSheetId="9">#REF!</definedName>
    <definedName name="Standard_F8s_v2_Temp">DefineByVMFootprint!$H$108</definedName>
    <definedName name="Standard_NC12s_v3_Cores">DefineByVMFootprint!$D$114</definedName>
    <definedName name="Standard_NC12s_v3_Disk">DefineByVMFootprint!$I$114</definedName>
    <definedName name="Standard_NC12s_v3_GPU">DefineByVMFootprint!$F$114</definedName>
    <definedName name="Standard_NC12s_v3_GPUMemory">DefineByVMFootprint!$G$114</definedName>
    <definedName name="Standard_NC12s_v3_Memory">DefineByVMFootprint!$E$114</definedName>
    <definedName name="Standard_NC12s_v3_Temp">DefineByVMFootprint!$H$114</definedName>
    <definedName name="Standard_NC12s_v3_Total_GPU">DefineByVMFootprint!$F$258</definedName>
    <definedName name="Standard_NC16as_T4_v3_Cores">DefineByVMFootprint!$D$119</definedName>
    <definedName name="Standard_NC16as_T4_v3_Disk">DefineByVMFootprint!$I$119</definedName>
    <definedName name="Standard_NC16as_T4_v3_GPU">DefineByVMFootprint!$F$119</definedName>
    <definedName name="Standard_NC16as_T4_v3_GPUMemory">DefineByVMFootprint!$G$119</definedName>
    <definedName name="Standard_NC16as_T4_v3_Memory">DefineByVMFootprint!$E$119</definedName>
    <definedName name="Standard_NC16as_T4_v3_Temp">DefineByVMFootprint!$H$119</definedName>
    <definedName name="Standard_NC16as_T4_v3_Total_GPU">DefineByVMFootprint!$F$264</definedName>
    <definedName name="Standard_NC24ads_A100_v4_Cores">DefineByVMFootprint!$D$122</definedName>
    <definedName name="Standard_NC24ads_A100_v4_Disk">DefineByVMFootprint!$I$122</definedName>
    <definedName name="Standard_NC24ads_A100_v4_GPU">DefineByVMFootprint!$F$122</definedName>
    <definedName name="Standard_NC24ads_A100_v4_GPUMemory">DefineByVMFootprint!$G$122</definedName>
    <definedName name="Standard_NC24ads_A100_v4_Memory">DefineByVMFootprint!$E$122</definedName>
    <definedName name="Standard_NC24ads_A100_v4_Temp">DefineByVMFootprint!$H$122</definedName>
    <definedName name="Standard_NC24s_v3_Cores">DefineByVMFootprint!$D$115</definedName>
    <definedName name="Standard_NC24s_v3_Disk">DefineByVMFootprint!$I$115</definedName>
    <definedName name="Standard_NC24s_v3_GPU">DefineByVMFootprint!$F$115</definedName>
    <definedName name="Standard_NC24s_v3_GPUMemory">DefineByVMFootprint!$G$115</definedName>
    <definedName name="Standard_NC24s_v3_Memory">DefineByVMFootprint!$E$115</definedName>
    <definedName name="Standard_NC24s_v3_Temp">DefineByVMFootprint!$H$115</definedName>
    <definedName name="Standard_NC24s_v3_Total_GPU">DefineByVMFootprint!$F$259</definedName>
    <definedName name="Standard_NC48ads_A100_v4_Cores">DefineByVMFootprint!$D$123</definedName>
    <definedName name="Standard_NC48ads_A100_v4_Disk">DefineByVMFootprint!$I$123</definedName>
    <definedName name="Standard_NC48ads_A100_v4_GPU">DefineByVMFootprint!$F$123</definedName>
    <definedName name="Standard_NC48ads_A100_v4_GPUMemory">DefineByVMFootprint!$G$123</definedName>
    <definedName name="Standard_NC48ads_A100_v4_Memory">DefineByVMFootprint!$E$123</definedName>
    <definedName name="Standard_NC48ads_A100_v4_Temp">DefineByVMFootprint!$H$123</definedName>
    <definedName name="Standard_NC4as_T4_v3_Cores">DefineByVMFootprint!$D$117</definedName>
    <definedName name="Standard_NC4as_T4_v3_Disk">DefineByVMFootprint!$I$117</definedName>
    <definedName name="Standard_NC4as_T4_v3_GPU">DefineByVMFootprint!$F$117</definedName>
    <definedName name="Standard_NC4as_T4_v3_GPUMemory">DefineByVMFootprint!$G$117</definedName>
    <definedName name="Standard_NC4as_T4_v3_Memory">DefineByVMFootprint!$E$117</definedName>
    <definedName name="Standard_NC4as_T4_v3_Temp">DefineByVMFootprint!$H$117</definedName>
    <definedName name="Standard_NC4as_T4_v3_Total_GPU">DefineByVMFootprint!$F$264</definedName>
    <definedName name="Standard_NC64as_T4_v3_Cores">DefineByVMFootprint!$D$120</definedName>
    <definedName name="Standard_NC64as_T4_v3_Disk">DefineByVMFootprint!$I$120</definedName>
    <definedName name="Standard_NC64as_T4_v3_GPU">DefineByVMFootprint!$F$120</definedName>
    <definedName name="Standard_NC64as_T4_v3_GPUMemory">DefineByVMFootprint!$G$120</definedName>
    <definedName name="Standard_NC64as_T4_v3_Memory">DefineByVMFootprint!$E$120</definedName>
    <definedName name="Standard_NC64as_T4_v3_Temp">DefineByVMFootprint!$H$120</definedName>
    <definedName name="Standard_NC64as_T4_v3_Total_GPU">DefineByVMFootprint!$F$265</definedName>
    <definedName name="Standard_NC6s_v3_Cores">DefineByVMFootprint!$D$113</definedName>
    <definedName name="Standard_NC6s_v3_Disk">DefineByVMFootprint!$I$113</definedName>
    <definedName name="Standard_NC6s_v3_GPU">DefineByVMFootprint!$F$113</definedName>
    <definedName name="Standard_NC6s_v3_GPUMemory">DefineByVMFootprint!$G$113</definedName>
    <definedName name="Standard_NC6s_v3_Memory">DefineByVMFootprint!$E$113</definedName>
    <definedName name="Standard_NC6s_v3_Temp">DefineByVMFootprint!$H$113</definedName>
    <definedName name="Standard_NC6s_v3_Total_GPU">DefineByVMFootprint!$F$257</definedName>
    <definedName name="Standard_NC8as_T4_v3_Cores">DefineByVMFootprint!$D$118</definedName>
    <definedName name="Standard_NC8as_T4_v3_Disk">DefineByVMFootprint!$I$118</definedName>
    <definedName name="Standard_NC8as_T4_v3_GPU">DefineByVMFootprint!$F$118</definedName>
    <definedName name="Standard_NC8as_T4_v3_GPUMemory">DefineByVMFootprint!$G$118</definedName>
    <definedName name="Standard_NC8as_T4_v3_Memory">DefineByVMFootprint!$E$118</definedName>
    <definedName name="Standard_NC8as_T4_v3_Temp">DefineByVMFootprint!$H$118</definedName>
    <definedName name="Standard_NC8as_T4_v3_Total_GPU">DefineByVMFootprint!$F$263</definedName>
    <definedName name="Standard_NV16as_v4_Cores">DefineByVMFootprint!$D$127</definedName>
    <definedName name="Standard_NV16as_v4_Disk">DefineByVMFootprint!$I$127</definedName>
    <definedName name="Standard_NV16as_v4_GPU">DefineByVMFootprint!$F$127</definedName>
    <definedName name="Standard_NV16as_v4_GPUMemory">DefineByVMFootprint!$G$127</definedName>
    <definedName name="Standard_NV16as_v4_Memory">DefineByVMFootprint!$E$127</definedName>
    <definedName name="Standard_NV16as_v4_Temp">DefineByVMFootprint!$H$127</definedName>
    <definedName name="Standard_NV16as_v4_Total_GPU">DefineByVMFootprint!$F$274</definedName>
    <definedName name="Standard_NV32as_v4_Cores">DefineByVMFootprint!$D$128</definedName>
    <definedName name="Standard_NV32as_v4_Disk">DefineByVMFootprint!$I$128</definedName>
    <definedName name="Standard_NV32as_v4_GPU">DefineByVMFootprint!$F$128</definedName>
    <definedName name="Standard_NV32as_v4_GPUMemory">DefineByVMFootprint!$G$128</definedName>
    <definedName name="Standard_NV32as_v4_Memory">DefineByVMFootprint!$E$128</definedName>
    <definedName name="Standard_NV32as_v4_Temp">DefineByVMFootprint!$H$128</definedName>
    <definedName name="Standard_NV32as_v4_Total_GPU">DefineByVMFootprint!$F$275</definedName>
    <definedName name="Standard_NV4as_v4_Cores">DefineByVMFootprint!$D$125</definedName>
    <definedName name="Standard_NV4as_v4_Disk">DefineByVMFootprint!$I$125</definedName>
    <definedName name="Standard_NV4as_v4_GPU">DefineByVMFootprint!$F$125</definedName>
    <definedName name="Standard_NV4as_v4_GPUMemory">DefineByVMFootprint!$G$125</definedName>
    <definedName name="Standard_NV4as_v4_Memory">DefineByVMFootprint!$E$125</definedName>
    <definedName name="Standard_NV4as_v4_Temp">DefineByVMFootprint!$H$125</definedName>
    <definedName name="Standard_NV4as_v4_Total_GPU">DefineByVMFootprint!$F$272</definedName>
    <definedName name="Standard_NV8as_v4_Cores">DefineByVMFootprint!$D$126</definedName>
    <definedName name="Standard_NV8as_v4_Disk">DefineByVMFootprint!$I$126</definedName>
    <definedName name="Standard_NV8as_v4_GPU">DefineByVMFootprint!$F$126</definedName>
    <definedName name="Standard_NV8as_v4_GPUMemory">DefineByVMFootprint!$G$126</definedName>
    <definedName name="Standard_NV8as_v4_Memory">DefineByVMFootprint!$E$126</definedName>
    <definedName name="Standard_NV8as_v4_Temp">DefineByVMFootprint!$H$126</definedName>
    <definedName name="Standard_NV8as_v4_Total_GPU">DefineByVMFootprint!$F$273</definedName>
    <definedName name="Storage_0GB">DefineByVMFootprint!$Y$12</definedName>
    <definedName name="Storage_100GB">DefineByVMFootprint!$Y$13</definedName>
    <definedName name="Storage_120GB" localSheetId="3">DefineByVMFootprint!$Y$14</definedName>
    <definedName name="Storage_120GB">DefineByVMFootprint!$Y$13</definedName>
    <definedName name="Storage_160GB" localSheetId="3">DefineByVMFootprint!$Y$15</definedName>
    <definedName name="Storage_16TB" localSheetId="3">DefineByVMFootprint!$Y$22</definedName>
    <definedName name="Storage_1TB" localSheetId="3">DefineByVMFootprint!$Y$18</definedName>
    <definedName name="Storage_2TB" localSheetId="3">DefineByVMFootprint!$Y$19</definedName>
    <definedName name="Storage_320GB" localSheetId="3">DefineByVMFootprint!$Y$16</definedName>
    <definedName name="Storage_512GB" localSheetId="3">DefineByVMFootprint!$Y$17</definedName>
    <definedName name="Storage_5TB" localSheetId="3">DefineByVMFootprint!$Y$20</definedName>
    <definedName name="Storage_8TB" localSheetId="3">DefineByVMFootprint!$Y$21</definedName>
    <definedName name="Suggested_SKU_Name" localSheetId="9">#REF!</definedName>
    <definedName name="Suggested_SKU_Name" localSheetId="14">DefineByVMFootprint!#REF!</definedName>
    <definedName name="Suggested_SKU_Name">DefineByVMFootprint!#REF!</definedName>
    <definedName name="Sum_Non_HAVM">Reference_AzureStackInputs!$C$34</definedName>
    <definedName name="TempStorageMaximumRatio" localSheetId="9">#REF!</definedName>
    <definedName name="TempStorageMaximumRatio">Reference_AzureStackInputs!$C$5</definedName>
    <definedName name="TempStorageMultiplier" localSheetId="9">#REF!</definedName>
    <definedName name="TempStorageMultiplier">Reference_AzureStackInputs!$C$2</definedName>
    <definedName name="Tenant_Temp_Storage_Formatted_Solution_TiB" localSheetId="9">#REF!</definedName>
    <definedName name="Tenant_Temp_Storage_Formatted_Solution_TiB">#REF!</definedName>
    <definedName name="Tenant_VM_Size__V">#REF!</definedName>
    <definedName name="Tenant1_Disk_Inv_Total">DefineByWorkloadFootprint!$AK$232</definedName>
    <definedName name="Tenant1_Disk_Total">DefineByWorkloadFootprint!$AL$232</definedName>
    <definedName name="Tenant1_Memory_Inv_Total">DefineByWorkloadFootprint!$AK$211</definedName>
    <definedName name="Tenant1_Memory_Total">DefineByWorkloadFootprint!$AL$211</definedName>
    <definedName name="Tenant1_TempDisk_Inv_Total">DefineByWorkloadFootprint!$AK$224</definedName>
    <definedName name="Tenant1_TempDisk_Total">DefineByWorkloadFootprint!$AL$224</definedName>
    <definedName name="Tenant2_Disk_Inv_Total">DefineByWorkloadFootprint!$AK$233</definedName>
    <definedName name="Tenant2_Disk_Total">DefineByWorkloadFootprint!$AL$233</definedName>
    <definedName name="Tenant2_Memory_Inv_Total">DefineByWorkloadFootprint!$AK$212</definedName>
    <definedName name="Tenant2_Memory_Total">DefineByWorkloadFootprint!$AL$212</definedName>
    <definedName name="Tenant2_TempDisk_Inv_Total">DefineByWorkloadFootprint!$AK$225</definedName>
    <definedName name="Tenant2_TempDisk_Total">DefineByWorkloadFootprint!$AL$225</definedName>
    <definedName name="Tenant3_Disk_Inv_Total">DefineByWorkloadFootprint!$AK$234</definedName>
    <definedName name="Tenant3_Disk_Total">DefineByWorkloadFootprint!$AL$234</definedName>
    <definedName name="Tenant3_Memory_Inv_Total">DefineByWorkloadFootprint!$AK$213</definedName>
    <definedName name="Tenant3_Memory_Total">DefineByWorkloadFootprint!$AL$213</definedName>
    <definedName name="Tenant3_TempDisk_Inv_Total">DefineByWorkloadFootprint!$AK$226</definedName>
    <definedName name="Tenant3_TempDisk_Total">DefineByWorkloadFootprint!$AL$226</definedName>
    <definedName name="Tenant4_Disk_Inv_Total">DefineByWorkloadFootprint!$AK$235</definedName>
    <definedName name="Tenant4_Disk_Total">DefineByWorkloadFootprint!$AL$235</definedName>
    <definedName name="Tenant4_Memory_Inv_Total">DefineByWorkloadFootprint!$AK$214</definedName>
    <definedName name="Tenant4_Memory_Total">DefineByWorkloadFootprint!$AL$214</definedName>
    <definedName name="Tenant4_TempDisk_Inv_Total">DefineByWorkloadFootprint!$AK$227</definedName>
    <definedName name="Tenant4_TempDisk_Total">DefineByWorkloadFootprint!$AL$227</definedName>
    <definedName name="Tenant5_Disk_Inv_Total">DefineByWorkloadFootprint!$AK$236</definedName>
    <definedName name="Tenant5_Disk_Total">DefineByWorkloadFootprint!$AL$236</definedName>
    <definedName name="Tenant5_Memory_Inv_Total">DefineByWorkloadFootprint!$AK$215</definedName>
    <definedName name="Tenant5_Memory_Total">DefineByWorkloadFootprint!$AL$215</definedName>
    <definedName name="Tenant5_TempDisk_Inv_Total">DefineByWorkloadFootprint!$AK$228</definedName>
    <definedName name="Tenant5_TempDisk_Total">DefineByWorkloadFootprint!$AL$228</definedName>
    <definedName name="Tenant6_Disk_Inv_Total">DefineByWorkloadFootprint!$AK$237</definedName>
    <definedName name="Tenant6_Disk_Total">DefineByWorkloadFootprint!$AL$237</definedName>
    <definedName name="Tenant6_Memory_Inv_Total">DefineByWorkloadFootprint!$AK$216</definedName>
    <definedName name="Tenant6_Memory_Total">DefineByWorkloadFootprint!$AL$216</definedName>
    <definedName name="Tenant6_TempDisk_Inv_Total">DefineByWorkloadFootprint!$AK$229</definedName>
    <definedName name="Tenant6_TempDisk_Total">DefineByWorkloadFootprint!$AL$229</definedName>
    <definedName name="TenantVMMemorySizeMaximum">Reference_AzureStackInputs!$C$20</definedName>
    <definedName name="TenantVMSize">#REF!</definedName>
    <definedName name="Total_Allocated_GPU_VM_Disk">DefineByVMFootprint!$I$279</definedName>
    <definedName name="Total_Allocated_GPU_VM_Memory">DefineByVMFootprint!$E$279</definedName>
    <definedName name="Total_Allocated_GPU_VM_TempDisk">DefineByVMFootprint!$H$279</definedName>
    <definedName name="Total_Allocated_GPUVM_Cores">DefineByVMFootprint!$D$279</definedName>
    <definedName name="Total_Allocated_VM_Cores" localSheetId="9">#REF!</definedName>
    <definedName name="Total_Allocated_VM_Cores">DefineByVMFootprint!$D$278</definedName>
    <definedName name="Total_Allocated_VM_Disk" localSheetId="9">#REF!</definedName>
    <definedName name="Total_Allocated_VM_Disk">DefineByVMFootprint!$I$278</definedName>
    <definedName name="Total_Allocated_VM_GPU">DefineByVMFootprint!$F$279</definedName>
    <definedName name="Total_Allocated_VM_Memory" localSheetId="9">#REF!</definedName>
    <definedName name="Total_Allocated_VM_Memory">DefineByVMFootprint!$E$278</definedName>
    <definedName name="Total_Allocated_VM_TempDisk" localSheetId="9">#REF!</definedName>
    <definedName name="Total_Allocated_VM_TempDisk">DefineByVMFootprint!$H$278</definedName>
    <definedName name="Total_Consumed_GPU">DefineByWorkloadFootprint!$G$141</definedName>
    <definedName name="Total_Consumed_Tenant_CustomWorkload_GPU">DefineByWorkloadFootprint!$T$378</definedName>
    <definedName name="Total_Consumed_Tenant_VM_Cores" localSheetId="9">#REF!</definedName>
    <definedName name="Total_Consumed_Tenant_VM_Cores">DefineByWorkloadFootprint!$D$276</definedName>
    <definedName name="Total_Consumed_Tenant_VM_Disk" localSheetId="9">#REF!</definedName>
    <definedName name="Total_Consumed_Tenant_VM_Disk">DefineByWorkloadFootprint!$D$378</definedName>
    <definedName name="Total_Consumed_Tenant_VM_Memory" localSheetId="9">#REF!</definedName>
    <definedName name="Total_Consumed_Tenant_VM_Memory">DefineByWorkloadFootprint!$L$276</definedName>
    <definedName name="Total_Consumed_Tenant_VM_TempDisk" localSheetId="9">#REF!</definedName>
    <definedName name="Total_Consumed_Tenant_VM_TempDisk">DefineByWorkloadFootprint!$L$378</definedName>
    <definedName name="Total_HA_VM_Count">DefineByVMFootprint!$B$283</definedName>
    <definedName name="Total_Non_HA_VM_Count">DefineByVMFootprint!$C$283</definedName>
    <definedName name="Total_Number_Workload_GPU">GPUReferencePage!$H$30</definedName>
    <definedName name="Total_Quantity_VMs">DefineByVMFootprint!$B$278</definedName>
    <definedName name="Total_Tenant_Consumed_GPU">DefineByWorkloadFootprint!$G$141</definedName>
    <definedName name="Total_Tenant_CPU_Cores" localSheetId="9">#REF!</definedName>
    <definedName name="Total_Tenant_CPU_Cores">DefineByWorkloadFootprint!$E$137</definedName>
    <definedName name="Total_Tenant_Disk" localSheetId="9">#REF!</definedName>
    <definedName name="Total_Tenant_Disk">DefineByWorkloadFootprint!$E$140</definedName>
    <definedName name="Total_Tenant_GPU">DefineByWorkloadFootprint!$E$141</definedName>
    <definedName name="Total_Tenant_HA_Workloads">DefineByWorkloadFootprint!$P$278</definedName>
    <definedName name="Total_Tenant_Memory" localSheetId="9">#REF!</definedName>
    <definedName name="Total_Tenant_Memory">DefineByWorkloadFootprint!$E$138</definedName>
    <definedName name="Total_Tenant_Non_HA_workloads">DefineByWorkloadFootprint!$Q$278</definedName>
    <definedName name="Total_Tenant_TempDisk" localSheetId="9">#REF!</definedName>
    <definedName name="Total_Tenant_TempDisk">DefineByWorkloadFootprint!$E$139</definedName>
    <definedName name="Total_VM_CPU_Cores" localSheetId="9">#REF!</definedName>
    <definedName name="Total_VM_CPU_Cores">DefineByVMFootprint!$N$73</definedName>
    <definedName name="Total_VM_External_Storage" localSheetId="9">#REF!</definedName>
    <definedName name="Total_VM_External_Storage">DefineByVMFootprint!$N$76</definedName>
    <definedName name="Total_VM_GPU_Number">DefineByVMFootprint!$N$77</definedName>
    <definedName name="Total_VM_Memory" localSheetId="9">#REF!</definedName>
    <definedName name="Total_VM_Memory">DefineByVMFootprint!$N$74</definedName>
    <definedName name="Total_VM_Temp_Storage" localSheetId="9">#REF!</definedName>
    <definedName name="Total_VM_Temp_Storage">DefineByVMFootprint!$N$75</definedName>
    <definedName name="TotalVMMaximum">Reference_AzureStackInputs!$C$28</definedName>
    <definedName name="Unused_Tenant_CPU_Cores" localSheetId="9">#REF!</definedName>
    <definedName name="Unused_Tenant_CPU_Cores">DefineByWorkloadFootprint!$I$137</definedName>
    <definedName name="Unused_Tenant_Disk" localSheetId="9">#REF!</definedName>
    <definedName name="Unused_Tenant_Disk">DefineByWorkloadFootprint!$I$140</definedName>
    <definedName name="Unused_Tenant_Memory" localSheetId="9">#REF!</definedName>
    <definedName name="Unused_Tenant_Memory">DefineByWorkloadFootprint!$I$138</definedName>
    <definedName name="Unused_Tenant_TempDisk" localSheetId="9">#REF!</definedName>
    <definedName name="Unused_Tenant_TempDisk">DefineByWorkloadFootprint!$I$139</definedName>
    <definedName name="ViewSKUsRecommendationTop">SKUsRecommendationPage!$B$2</definedName>
    <definedName name="VM_Placement_Memory_Reserve" localSheetId="9">#REF!</definedName>
    <definedName name="VM_Placement_Memory_Reserve" localSheetId="14">#REF!</definedName>
    <definedName name="VM_Placement_Memory_Reserve">#REF!</definedName>
  </definedNames>
  <calcPr calcId="191028"/>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130" i="19" l="1"/>
  <c r="G369" i="19"/>
  <c r="G268" i="19"/>
  <c r="D126" i="19"/>
  <c r="E126" i="19"/>
  <c r="F126" i="19"/>
  <c r="G126" i="19"/>
  <c r="D127" i="19"/>
  <c r="E127" i="19"/>
  <c r="F127" i="19"/>
  <c r="G127" i="19"/>
  <c r="D128" i="19"/>
  <c r="E128" i="19"/>
  <c r="F128" i="19"/>
  <c r="G128" i="19"/>
  <c r="D129" i="19"/>
  <c r="E129" i="19"/>
  <c r="F129" i="19"/>
  <c r="G129" i="19"/>
  <c r="H127" i="19"/>
  <c r="H128" i="19"/>
  <c r="H129" i="19"/>
  <c r="H126" i="19"/>
  <c r="D123" i="19"/>
  <c r="L369" i="19" s="1"/>
  <c r="E123" i="19"/>
  <c r="E369" i="19" s="1"/>
  <c r="F123" i="19"/>
  <c r="N369" i="19" s="1"/>
  <c r="G123" i="19"/>
  <c r="O369" i="19" s="1"/>
  <c r="D124" i="19"/>
  <c r="L370" i="19" s="1"/>
  <c r="E124" i="19"/>
  <c r="E370" i="19" s="1"/>
  <c r="F124" i="19"/>
  <c r="N370" i="19" s="1"/>
  <c r="G124" i="19"/>
  <c r="O370" i="19" s="1"/>
  <c r="H124" i="19"/>
  <c r="P370" i="19" s="1"/>
  <c r="H123" i="19"/>
  <c r="P369" i="19" s="1"/>
  <c r="D118" i="19"/>
  <c r="E118" i="19"/>
  <c r="F118" i="19"/>
  <c r="G118" i="19"/>
  <c r="D119" i="19"/>
  <c r="E119" i="19"/>
  <c r="F119" i="19"/>
  <c r="G119" i="19"/>
  <c r="D120" i="19"/>
  <c r="E120" i="19"/>
  <c r="F120" i="19"/>
  <c r="G120" i="19"/>
  <c r="D121" i="19"/>
  <c r="E121" i="19"/>
  <c r="F121" i="19"/>
  <c r="G121" i="19"/>
  <c r="H119" i="19"/>
  <c r="H120" i="19"/>
  <c r="H121" i="19"/>
  <c r="H118" i="19"/>
  <c r="D114" i="19"/>
  <c r="E114" i="19"/>
  <c r="F114" i="19"/>
  <c r="G114" i="19"/>
  <c r="D115" i="19"/>
  <c r="E115" i="19"/>
  <c r="F115" i="19"/>
  <c r="G115" i="19"/>
  <c r="D116" i="19"/>
  <c r="E116" i="19"/>
  <c r="F116" i="19"/>
  <c r="G116" i="19"/>
  <c r="H115" i="19"/>
  <c r="H116" i="19"/>
  <c r="H114" i="19"/>
  <c r="D107" i="19"/>
  <c r="E107" i="19"/>
  <c r="F107" i="19"/>
  <c r="G107" i="19"/>
  <c r="D108" i="19"/>
  <c r="E108" i="19"/>
  <c r="F108" i="19"/>
  <c r="G108" i="19"/>
  <c r="D109" i="19"/>
  <c r="E109" i="19"/>
  <c r="F109" i="19"/>
  <c r="G109" i="19"/>
  <c r="D110" i="19"/>
  <c r="E110" i="19"/>
  <c r="F110" i="19"/>
  <c r="G110" i="19"/>
  <c r="D111" i="19"/>
  <c r="E111" i="19"/>
  <c r="F111" i="19"/>
  <c r="G111" i="19"/>
  <c r="D112" i="19"/>
  <c r="E112" i="19"/>
  <c r="F112" i="19"/>
  <c r="G112" i="19"/>
  <c r="H108" i="19"/>
  <c r="H109" i="19"/>
  <c r="H110" i="19"/>
  <c r="H111" i="19"/>
  <c r="H112" i="19"/>
  <c r="H107" i="19"/>
  <c r="D101" i="19"/>
  <c r="E101" i="19"/>
  <c r="F101" i="19"/>
  <c r="G101" i="19"/>
  <c r="D102" i="19"/>
  <c r="E102" i="19"/>
  <c r="F102" i="19"/>
  <c r="G102" i="19"/>
  <c r="D103" i="19"/>
  <c r="E103" i="19"/>
  <c r="F103" i="19"/>
  <c r="G103" i="19"/>
  <c r="D104" i="19"/>
  <c r="E104" i="19"/>
  <c r="F104" i="19"/>
  <c r="G104" i="19"/>
  <c r="D105" i="19"/>
  <c r="E105" i="19"/>
  <c r="F105" i="19"/>
  <c r="G105" i="19"/>
  <c r="H102" i="19"/>
  <c r="H103" i="19"/>
  <c r="H104" i="19"/>
  <c r="H105" i="19"/>
  <c r="H101" i="19"/>
  <c r="D95" i="19"/>
  <c r="E95" i="19"/>
  <c r="F95" i="19"/>
  <c r="G95" i="19"/>
  <c r="D96" i="19"/>
  <c r="E96" i="19"/>
  <c r="F96" i="19"/>
  <c r="G96" i="19"/>
  <c r="D97" i="19"/>
  <c r="E97" i="19"/>
  <c r="F97" i="19"/>
  <c r="G97" i="19"/>
  <c r="D98" i="19"/>
  <c r="E98" i="19"/>
  <c r="F98" i="19"/>
  <c r="G98" i="19"/>
  <c r="D99" i="19"/>
  <c r="E99" i="19"/>
  <c r="F99" i="19"/>
  <c r="G99" i="19"/>
  <c r="H96" i="19"/>
  <c r="H97" i="19"/>
  <c r="H98" i="19"/>
  <c r="H99" i="19"/>
  <c r="H95" i="19"/>
  <c r="D88" i="19"/>
  <c r="E88" i="19"/>
  <c r="F88" i="19"/>
  <c r="G88" i="19"/>
  <c r="D89" i="19"/>
  <c r="E89" i="19"/>
  <c r="F89" i="19"/>
  <c r="G89" i="19"/>
  <c r="D90" i="19"/>
  <c r="E90" i="19"/>
  <c r="F90" i="19"/>
  <c r="G90" i="19"/>
  <c r="D91" i="19"/>
  <c r="E91" i="19"/>
  <c r="F91" i="19"/>
  <c r="G91" i="19"/>
  <c r="D92" i="19"/>
  <c r="D345" i="19" s="1" a="1"/>
  <c r="D345" i="19" s="1"/>
  <c r="E92" i="19"/>
  <c r="F92" i="19"/>
  <c r="N345" i="19" s="1"/>
  <c r="G92" i="19"/>
  <c r="G345" i="19" s="1"/>
  <c r="H89" i="19"/>
  <c r="H90" i="19"/>
  <c r="H91" i="19"/>
  <c r="H92" i="19"/>
  <c r="H88" i="19"/>
  <c r="D83" i="19"/>
  <c r="E83" i="19"/>
  <c r="F83" i="19"/>
  <c r="G83" i="19"/>
  <c r="D84" i="19"/>
  <c r="E84" i="19"/>
  <c r="F84" i="19"/>
  <c r="G84" i="19"/>
  <c r="D85" i="19"/>
  <c r="E85" i="19"/>
  <c r="F85" i="19"/>
  <c r="G85" i="19"/>
  <c r="D86" i="19"/>
  <c r="E86" i="19"/>
  <c r="F86" i="19"/>
  <c r="G86" i="19"/>
  <c r="H84" i="19"/>
  <c r="H85" i="19"/>
  <c r="H86" i="19"/>
  <c r="H83" i="19"/>
  <c r="D78" i="19"/>
  <c r="E78" i="19"/>
  <c r="F78" i="19"/>
  <c r="G78" i="19"/>
  <c r="D79" i="19"/>
  <c r="E79" i="19"/>
  <c r="F79" i="19"/>
  <c r="G79" i="19"/>
  <c r="D80" i="19"/>
  <c r="E80" i="19"/>
  <c r="F80" i="19"/>
  <c r="G80" i="19"/>
  <c r="D81" i="19"/>
  <c r="E81" i="19"/>
  <c r="F81" i="19"/>
  <c r="G81" i="19"/>
  <c r="H79" i="19"/>
  <c r="H80" i="19"/>
  <c r="H81" i="19"/>
  <c r="H78" i="19"/>
  <c r="D73" i="19"/>
  <c r="E73" i="19"/>
  <c r="F73" i="19"/>
  <c r="G73" i="19"/>
  <c r="D74" i="19"/>
  <c r="E74" i="19"/>
  <c r="F74" i="19"/>
  <c r="G74" i="19"/>
  <c r="D75" i="19"/>
  <c r="E75" i="19"/>
  <c r="F75" i="19"/>
  <c r="G75" i="19"/>
  <c r="D76" i="19"/>
  <c r="E76" i="19"/>
  <c r="F76" i="19"/>
  <c r="G76" i="19"/>
  <c r="H74" i="19"/>
  <c r="H75" i="19"/>
  <c r="H76" i="19"/>
  <c r="H73" i="19"/>
  <c r="D68" i="19"/>
  <c r="E68" i="19"/>
  <c r="F68" i="19"/>
  <c r="G68" i="19"/>
  <c r="D69" i="19"/>
  <c r="E69" i="19"/>
  <c r="F69" i="19"/>
  <c r="G69" i="19"/>
  <c r="D70" i="19"/>
  <c r="E70" i="19"/>
  <c r="F70" i="19"/>
  <c r="G70" i="19"/>
  <c r="D71" i="19"/>
  <c r="E71" i="19"/>
  <c r="F71" i="19"/>
  <c r="G71" i="19"/>
  <c r="H69" i="19"/>
  <c r="H70" i="19"/>
  <c r="H71" i="19"/>
  <c r="H68" i="19"/>
  <c r="D61" i="19"/>
  <c r="E61" i="19"/>
  <c r="F61" i="19"/>
  <c r="G61" i="19"/>
  <c r="D62" i="19"/>
  <c r="E62" i="19"/>
  <c r="F62" i="19"/>
  <c r="G62" i="19"/>
  <c r="D63" i="19"/>
  <c r="E63" i="19"/>
  <c r="F63" i="19"/>
  <c r="G63" i="19"/>
  <c r="D64" i="19"/>
  <c r="E64" i="19"/>
  <c r="F64" i="19"/>
  <c r="G64" i="19"/>
  <c r="D65" i="19"/>
  <c r="E65" i="19"/>
  <c r="F65" i="19"/>
  <c r="G65" i="19"/>
  <c r="H62" i="19"/>
  <c r="H63" i="19"/>
  <c r="H64" i="19"/>
  <c r="H65" i="19"/>
  <c r="H61" i="19"/>
  <c r="D48" i="19"/>
  <c r="E48" i="19"/>
  <c r="F48" i="19"/>
  <c r="G48" i="19"/>
  <c r="D49" i="19"/>
  <c r="E49" i="19"/>
  <c r="F49" i="19"/>
  <c r="G49" i="19"/>
  <c r="D50" i="19"/>
  <c r="E50" i="19"/>
  <c r="F50" i="19"/>
  <c r="G50" i="19"/>
  <c r="D51" i="19"/>
  <c r="E51" i="19"/>
  <c r="F51" i="19"/>
  <c r="G51" i="19"/>
  <c r="D52" i="19"/>
  <c r="E52" i="19"/>
  <c r="F52" i="19"/>
  <c r="G52" i="19"/>
  <c r="D53" i="19"/>
  <c r="E53" i="19"/>
  <c r="F53" i="19"/>
  <c r="G53" i="19"/>
  <c r="D54" i="19"/>
  <c r="E54" i="19"/>
  <c r="F54" i="19"/>
  <c r="G54" i="19"/>
  <c r="D55" i="19"/>
  <c r="E55" i="19"/>
  <c r="F55" i="19"/>
  <c r="G55" i="19"/>
  <c r="D56" i="19"/>
  <c r="E56" i="19"/>
  <c r="F56" i="19"/>
  <c r="G56" i="19"/>
  <c r="D57" i="19"/>
  <c r="E57" i="19"/>
  <c r="F57" i="19"/>
  <c r="G57" i="19"/>
  <c r="D58" i="19"/>
  <c r="E58" i="19"/>
  <c r="F58" i="19"/>
  <c r="G58" i="19"/>
  <c r="D59" i="19"/>
  <c r="E59" i="19"/>
  <c r="F59" i="19"/>
  <c r="G59" i="19"/>
  <c r="H49" i="19"/>
  <c r="H50" i="19"/>
  <c r="H51" i="19"/>
  <c r="H52" i="19"/>
  <c r="H53" i="19"/>
  <c r="H54" i="19"/>
  <c r="H55" i="19"/>
  <c r="H56" i="19"/>
  <c r="H57" i="19"/>
  <c r="H58" i="19"/>
  <c r="H59" i="19"/>
  <c r="H48" i="19"/>
  <c r="D42" i="19"/>
  <c r="E42" i="19"/>
  <c r="F42" i="19"/>
  <c r="G42" i="19"/>
  <c r="D43" i="19"/>
  <c r="E43" i="19"/>
  <c r="F43" i="19"/>
  <c r="G43" i="19"/>
  <c r="D44" i="19"/>
  <c r="E44" i="19"/>
  <c r="F44" i="19"/>
  <c r="G44" i="19"/>
  <c r="D45" i="19"/>
  <c r="E45" i="19"/>
  <c r="F45" i="19"/>
  <c r="G45" i="19"/>
  <c r="D46" i="19"/>
  <c r="E46" i="19"/>
  <c r="F46" i="19"/>
  <c r="G46" i="19"/>
  <c r="H43" i="19"/>
  <c r="H44" i="19"/>
  <c r="H45" i="19"/>
  <c r="H46" i="19"/>
  <c r="H42" i="19"/>
  <c r="D37" i="19"/>
  <c r="E37" i="19"/>
  <c r="F37" i="19"/>
  <c r="G37" i="19"/>
  <c r="D38" i="19"/>
  <c r="E38" i="19"/>
  <c r="F38" i="19"/>
  <c r="G38" i="19"/>
  <c r="D39" i="19"/>
  <c r="E39" i="19"/>
  <c r="F39" i="19"/>
  <c r="G39" i="19"/>
  <c r="D40" i="19"/>
  <c r="E40" i="19"/>
  <c r="F40" i="19"/>
  <c r="G40" i="19"/>
  <c r="H38" i="19"/>
  <c r="H39" i="19"/>
  <c r="H40" i="19"/>
  <c r="H37" i="19"/>
  <c r="D32" i="19"/>
  <c r="E32" i="19"/>
  <c r="F32" i="19"/>
  <c r="G32" i="19"/>
  <c r="D33" i="19"/>
  <c r="E33" i="19"/>
  <c r="F33" i="19"/>
  <c r="G33" i="19"/>
  <c r="D34" i="19"/>
  <c r="E34" i="19"/>
  <c r="F34" i="19"/>
  <c r="G34" i="19"/>
  <c r="D35" i="19"/>
  <c r="E35" i="19"/>
  <c r="F35" i="19"/>
  <c r="G35" i="19"/>
  <c r="H33" i="19"/>
  <c r="H34" i="19"/>
  <c r="H35" i="19"/>
  <c r="H32" i="19"/>
  <c r="D24" i="19"/>
  <c r="E24" i="19"/>
  <c r="F24" i="19"/>
  <c r="G24" i="19"/>
  <c r="D25" i="19"/>
  <c r="E25" i="19"/>
  <c r="F25" i="19"/>
  <c r="G25" i="19"/>
  <c r="D26" i="19"/>
  <c r="E26" i="19"/>
  <c r="F26" i="19"/>
  <c r="G26" i="19"/>
  <c r="D27" i="19"/>
  <c r="E27" i="19"/>
  <c r="F27" i="19"/>
  <c r="G27" i="19"/>
  <c r="D28" i="19"/>
  <c r="E28" i="19"/>
  <c r="F28" i="19"/>
  <c r="G28" i="19"/>
  <c r="D29" i="19"/>
  <c r="E29" i="19"/>
  <c r="F29" i="19"/>
  <c r="G29" i="19"/>
  <c r="D30" i="19"/>
  <c r="E30" i="19"/>
  <c r="F30" i="19"/>
  <c r="G30" i="19"/>
  <c r="H25" i="19"/>
  <c r="H26" i="19"/>
  <c r="H27" i="19"/>
  <c r="H28" i="19"/>
  <c r="H29" i="19"/>
  <c r="H30" i="19"/>
  <c r="H24" i="19"/>
  <c r="D15" i="19"/>
  <c r="E15" i="19"/>
  <c r="F15" i="19"/>
  <c r="G15" i="19"/>
  <c r="D16" i="19"/>
  <c r="E16" i="19"/>
  <c r="F16" i="19"/>
  <c r="G16" i="19"/>
  <c r="D17" i="19"/>
  <c r="E17" i="19"/>
  <c r="F17" i="19"/>
  <c r="G17" i="19"/>
  <c r="D18" i="19"/>
  <c r="E18" i="19"/>
  <c r="F18" i="19"/>
  <c r="G18" i="19"/>
  <c r="D19" i="19"/>
  <c r="E19" i="19"/>
  <c r="F19" i="19"/>
  <c r="G19" i="19"/>
  <c r="D20" i="19"/>
  <c r="E20" i="19"/>
  <c r="F20" i="19"/>
  <c r="G20" i="19"/>
  <c r="D21" i="19"/>
  <c r="E21" i="19"/>
  <c r="F21" i="19"/>
  <c r="G21" i="19"/>
  <c r="D22" i="19"/>
  <c r="E22" i="19"/>
  <c r="F22" i="19"/>
  <c r="G22" i="19"/>
  <c r="H16" i="19"/>
  <c r="H17" i="19"/>
  <c r="H18" i="19"/>
  <c r="H19" i="19"/>
  <c r="H20" i="19"/>
  <c r="H21" i="19"/>
  <c r="H22" i="19"/>
  <c r="H15" i="19"/>
  <c r="H13" i="19"/>
  <c r="D13" i="19"/>
  <c r="E13" i="19"/>
  <c r="F13" i="19"/>
  <c r="G13" i="19"/>
  <c r="D12" i="19"/>
  <c r="E12" i="19"/>
  <c r="F12" i="19"/>
  <c r="G12" i="19"/>
  <c r="D11" i="19"/>
  <c r="E11" i="19"/>
  <c r="F11" i="19"/>
  <c r="G11" i="19"/>
  <c r="D10" i="19"/>
  <c r="E10" i="19"/>
  <c r="F10" i="19"/>
  <c r="G10" i="19"/>
  <c r="H10" i="19"/>
  <c r="H11" i="19"/>
  <c r="H12" i="19"/>
  <c r="D9" i="19"/>
  <c r="E9" i="19"/>
  <c r="F9" i="19"/>
  <c r="G9" i="19"/>
  <c r="H9" i="19"/>
  <c r="J133" i="44"/>
  <c r="I133" i="44"/>
  <c r="E123" i="36"/>
  <c r="E122" i="36"/>
  <c r="D122" i="36"/>
  <c r="G267" i="19" s="1"/>
  <c r="E120" i="36"/>
  <c r="D118" i="36"/>
  <c r="E16" i="46" a="1"/>
  <c r="E16" i="46" s="1"/>
  <c r="B234" i="36"/>
  <c r="I234" i="36"/>
  <c r="H234" i="36"/>
  <c r="Q345" i="19"/>
  <c r="I345" i="19"/>
  <c r="R243" i="19"/>
  <c r="M345" i="19"/>
  <c r="E91" i="36"/>
  <c r="Q243" i="19" s="1"/>
  <c r="D91" i="36"/>
  <c r="D234" i="36" s="1"/>
  <c r="I233" i="36"/>
  <c r="H233" i="36"/>
  <c r="B233" i="36"/>
  <c r="AN28" i="20"/>
  <c r="AM28" i="20"/>
  <c r="AL28" i="20"/>
  <c r="AK28" i="20"/>
  <c r="AJ28" i="20"/>
  <c r="AI28" i="20"/>
  <c r="T28" i="20"/>
  <c r="S28" i="20"/>
  <c r="R28" i="20"/>
  <c r="Q28" i="20"/>
  <c r="P28" i="20"/>
  <c r="O28" i="20"/>
  <c r="L52" i="20"/>
  <c r="L51" i="20"/>
  <c r="L50" i="20"/>
  <c r="L49" i="20"/>
  <c r="L48" i="20"/>
  <c r="L47" i="20"/>
  <c r="E268" i="19" l="1"/>
  <c r="M268" i="19"/>
  <c r="M369" i="19"/>
  <c r="F369" i="19"/>
  <c r="F268" i="19"/>
  <c r="F370" i="19"/>
  <c r="M370" i="19"/>
  <c r="H268" i="19"/>
  <c r="G370" i="19"/>
  <c r="D369" i="19"/>
  <c r="H369" i="19"/>
  <c r="D370" i="19"/>
  <c r="H370" i="19"/>
  <c r="N267" i="19"/>
  <c r="D268" i="19"/>
  <c r="N268" i="19"/>
  <c r="H267" i="19"/>
  <c r="O267" i="19"/>
  <c r="D267" i="19"/>
  <c r="O268" i="19"/>
  <c r="E267" i="19"/>
  <c r="L267" i="19"/>
  <c r="P267" i="19"/>
  <c r="L268" i="19"/>
  <c r="P268" i="19"/>
  <c r="M267" i="19"/>
  <c r="F267" i="19"/>
  <c r="I243" i="19"/>
  <c r="E234" i="36"/>
  <c r="P243" i="19"/>
  <c r="N243" i="19"/>
  <c r="F243" i="19"/>
  <c r="F345" i="19"/>
  <c r="E345" i="19"/>
  <c r="M243" i="19"/>
  <c r="G243" i="19"/>
  <c r="O243" i="19"/>
  <c r="O345" i="19"/>
  <c r="D243" i="19"/>
  <c r="L243" i="19" a="1"/>
  <c r="L243" i="19" s="1"/>
  <c r="E243" i="19"/>
  <c r="P345" i="19"/>
  <c r="H345" i="19"/>
  <c r="H243" i="19"/>
  <c r="L345" i="19" a="1"/>
  <c r="L345" i="19" s="1"/>
  <c r="I188" i="36"/>
  <c r="I187" i="36"/>
  <c r="B231" i="36"/>
  <c r="E17" i="46" a="1"/>
  <c r="E17" i="46" s="1"/>
  <c r="C17" i="46" a="1"/>
  <c r="C17" i="46" s="1"/>
  <c r="C15" i="46"/>
  <c r="C21" i="46"/>
  <c r="D21" i="46"/>
  <c r="E21" i="46"/>
  <c r="F21" i="46"/>
  <c r="G21" i="46"/>
  <c r="R258" i="19"/>
  <c r="R257" i="19"/>
  <c r="R256" i="19"/>
  <c r="R255" i="19"/>
  <c r="R252" i="19"/>
  <c r="R251" i="19"/>
  <c r="R250" i="19"/>
  <c r="R248" i="19"/>
  <c r="R247" i="19"/>
  <c r="R246" i="19"/>
  <c r="R245" i="19"/>
  <c r="R244" i="19"/>
  <c r="R242" i="19"/>
  <c r="R241" i="19"/>
  <c r="R240" i="19"/>
  <c r="R239" i="19"/>
  <c r="R238" i="19"/>
  <c r="R237" i="19"/>
  <c r="R236" i="19"/>
  <c r="R235" i="19"/>
  <c r="R234" i="19"/>
  <c r="R233" i="19"/>
  <c r="R232" i="19"/>
  <c r="R231" i="19"/>
  <c r="R230" i="19"/>
  <c r="R229" i="19"/>
  <c r="R228" i="19"/>
  <c r="R227" i="19"/>
  <c r="R226" i="19"/>
  <c r="R225" i="19"/>
  <c r="R224" i="19"/>
  <c r="R223" i="19"/>
  <c r="R222" i="19"/>
  <c r="R221" i="19"/>
  <c r="R220" i="19"/>
  <c r="R219" i="19"/>
  <c r="R218" i="19"/>
  <c r="R217" i="19"/>
  <c r="R216" i="19"/>
  <c r="R215" i="19"/>
  <c r="R214" i="19"/>
  <c r="R213" i="19"/>
  <c r="R212" i="19"/>
  <c r="R211" i="19"/>
  <c r="R210" i="19"/>
  <c r="R209" i="19"/>
  <c r="R208" i="19"/>
  <c r="R207" i="19"/>
  <c r="R206" i="19"/>
  <c r="R205" i="19"/>
  <c r="R204" i="19"/>
  <c r="R203" i="19"/>
  <c r="R202" i="19"/>
  <c r="R201" i="19"/>
  <c r="R200" i="19"/>
  <c r="R199" i="19"/>
  <c r="R198" i="19"/>
  <c r="R197" i="19"/>
  <c r="R196" i="19"/>
  <c r="R195" i="19"/>
  <c r="R194" i="19"/>
  <c r="R193" i="19"/>
  <c r="R192" i="19"/>
  <c r="R191" i="19"/>
  <c r="R190" i="19"/>
  <c r="R189" i="19"/>
  <c r="R188" i="19"/>
  <c r="R187" i="19"/>
  <c r="R186" i="19"/>
  <c r="R185" i="19"/>
  <c r="R184" i="19"/>
  <c r="R183" i="19"/>
  <c r="R182" i="19"/>
  <c r="R181" i="19"/>
  <c r="Q370" i="19" l="1"/>
  <c r="Q268" i="19"/>
  <c r="T368" i="19"/>
  <c r="B268" i="36"/>
  <c r="Q369" i="19"/>
  <c r="I268" i="19"/>
  <c r="I370" i="19"/>
  <c r="I369" i="19"/>
  <c r="I267" i="19"/>
  <c r="T369" i="19"/>
  <c r="Q267" i="19"/>
  <c r="G269" i="36" a="1"/>
  <c r="G269" i="36" s="1"/>
  <c r="T370" i="19"/>
  <c r="B269" i="36"/>
  <c r="G268" i="36"/>
  <c r="E269" i="36"/>
  <c r="H268" i="36"/>
  <c r="D269" i="36"/>
  <c r="E268" i="36"/>
  <c r="I269" i="36"/>
  <c r="F269" i="36"/>
  <c r="I268" i="36"/>
  <c r="F268" i="36"/>
  <c r="G265" i="36"/>
  <c r="D268" i="36" a="1"/>
  <c r="D268" i="36" s="1"/>
  <c r="H269" i="36"/>
  <c r="I263" i="36"/>
  <c r="I364" i="19"/>
  <c r="Q366" i="19"/>
  <c r="T367" i="19"/>
  <c r="I367" i="19"/>
  <c r="T362" i="19"/>
  <c r="I368" i="19"/>
  <c r="T363" i="19"/>
  <c r="I362" i="19"/>
  <c r="Q363" i="19"/>
  <c r="T364" i="19"/>
  <c r="Q362" i="19"/>
  <c r="Q364" i="19"/>
  <c r="T365" i="19"/>
  <c r="I363" i="19"/>
  <c r="Q365" i="19"/>
  <c r="T366" i="19"/>
  <c r="I365" i="19"/>
  <c r="Q367" i="19"/>
  <c r="I366" i="19"/>
  <c r="Q368" i="19"/>
  <c r="B262" i="36"/>
  <c r="F259" i="36"/>
  <c r="G262" i="36"/>
  <c r="H263" i="36"/>
  <c r="F264" i="36"/>
  <c r="H257" i="36"/>
  <c r="F258" i="36"/>
  <c r="G259" i="36"/>
  <c r="H262" i="36"/>
  <c r="I264" i="36"/>
  <c r="F265" i="36"/>
  <c r="G264" i="36"/>
  <c r="F257" i="36"/>
  <c r="G258" i="36"/>
  <c r="H259" i="36"/>
  <c r="I262" i="36"/>
  <c r="B264" i="36"/>
  <c r="G257" i="36"/>
  <c r="H258" i="36"/>
  <c r="I259" i="36"/>
  <c r="B263" i="36"/>
  <c r="B265" i="36"/>
  <c r="H264" i="36"/>
  <c r="I257" i="36"/>
  <c r="B259" i="36"/>
  <c r="H265" i="36"/>
  <c r="B258" i="36"/>
  <c r="F263" i="36"/>
  <c r="I265" i="36"/>
  <c r="I258" i="36"/>
  <c r="B257" i="36"/>
  <c r="F262" i="36"/>
  <c r="G263" i="36"/>
  <c r="J236" i="36"/>
  <c r="G270" i="36" l="1"/>
  <c r="F270" i="36"/>
  <c r="I5" i="20"/>
  <c r="P27" i="20"/>
  <c r="Q27" i="20"/>
  <c r="R27" i="20"/>
  <c r="S27" i="20"/>
  <c r="T27" i="20"/>
  <c r="O27" i="20"/>
  <c r="AJ27" i="20"/>
  <c r="AK27" i="20"/>
  <c r="AL27" i="20"/>
  <c r="AM27" i="20"/>
  <c r="AN27" i="20"/>
  <c r="AI27" i="20"/>
  <c r="I207" i="36"/>
  <c r="I206" i="36"/>
  <c r="I205" i="36"/>
  <c r="I204" i="36"/>
  <c r="I203" i="36"/>
  <c r="I202" i="36"/>
  <c r="I201" i="36"/>
  <c r="I200" i="36"/>
  <c r="H207" i="36"/>
  <c r="H206" i="36"/>
  <c r="H205" i="36"/>
  <c r="H204" i="36"/>
  <c r="H203" i="36"/>
  <c r="H202" i="36"/>
  <c r="H201" i="36"/>
  <c r="B207" i="36"/>
  <c r="B206" i="36"/>
  <c r="B205" i="36"/>
  <c r="B204" i="36"/>
  <c r="B203" i="36"/>
  <c r="B202" i="36"/>
  <c r="B201" i="36"/>
  <c r="D52" i="36"/>
  <c r="D201" i="36" s="1"/>
  <c r="E52" i="36"/>
  <c r="E201" i="36" s="1"/>
  <c r="J201" i="36" s="1"/>
  <c r="D53" i="36"/>
  <c r="D202" i="36" s="1"/>
  <c r="E53" i="36"/>
  <c r="E202" i="36" s="1"/>
  <c r="J202" i="36" s="1"/>
  <c r="D54" i="36"/>
  <c r="D203" i="36" s="1"/>
  <c r="E54" i="36"/>
  <c r="E203" i="36" s="1"/>
  <c r="J203" i="36" s="1"/>
  <c r="D55" i="36"/>
  <c r="D204" i="36" s="1"/>
  <c r="E55" i="36"/>
  <c r="E204" i="36" s="1"/>
  <c r="J204" i="36" s="1"/>
  <c r="D56" i="36"/>
  <c r="D205" i="36" s="1"/>
  <c r="E56" i="36"/>
  <c r="E205" i="36" s="1"/>
  <c r="D57" i="36"/>
  <c r="D206" i="36" s="1"/>
  <c r="E57" i="36"/>
  <c r="E206" i="36" s="1"/>
  <c r="J206" i="36" s="1"/>
  <c r="D58" i="36"/>
  <c r="D207" i="36" s="1"/>
  <c r="E58" i="36"/>
  <c r="E207" i="36" s="1"/>
  <c r="J207" i="36" s="1"/>
  <c r="T376" i="19"/>
  <c r="Q344" i="19"/>
  <c r="Q343" i="19"/>
  <c r="Q342" i="19"/>
  <c r="Q341" i="19"/>
  <c r="Q324" i="19"/>
  <c r="Q323" i="19"/>
  <c r="Q322" i="19"/>
  <c r="Q321" i="19"/>
  <c r="Q320" i="19"/>
  <c r="I344" i="19"/>
  <c r="I343" i="19"/>
  <c r="I342" i="19"/>
  <c r="I341" i="19"/>
  <c r="I324" i="19"/>
  <c r="I323" i="19"/>
  <c r="I322" i="19"/>
  <c r="I321" i="19"/>
  <c r="I320" i="19"/>
  <c r="D274" i="19"/>
  <c r="N323" i="19"/>
  <c r="H323" i="19"/>
  <c r="J205" i="36" l="1"/>
  <c r="L323" i="19"/>
  <c r="D324" i="19"/>
  <c r="L324" i="19"/>
  <c r="D321" i="19"/>
  <c r="D323" i="19"/>
  <c r="F323" i="19"/>
  <c r="P323" i="19"/>
  <c r="G323" i="19"/>
  <c r="L321" i="19"/>
  <c r="O323" i="19"/>
  <c r="D322" i="19"/>
  <c r="L322" i="19"/>
  <c r="E323" i="19"/>
  <c r="M323" i="19"/>
  <c r="L319" i="19"/>
  <c r="E130" i="19" l="1"/>
  <c r="D130" i="19"/>
  <c r="F130" i="19"/>
  <c r="H130" i="19"/>
  <c r="G130" i="19"/>
  <c r="P341" i="19"/>
  <c r="H341" i="19"/>
  <c r="O362" i="19"/>
  <c r="G362" i="19"/>
  <c r="H344" i="19"/>
  <c r="P344" i="19"/>
  <c r="O341" i="19"/>
  <c r="G341" i="19"/>
  <c r="L374" i="19"/>
  <c r="D374" i="19"/>
  <c r="N372" i="19"/>
  <c r="F372" i="19"/>
  <c r="P368" i="19"/>
  <c r="H368" i="19"/>
  <c r="O365" i="19"/>
  <c r="G365" i="19"/>
  <c r="L364" i="19"/>
  <c r="D364" i="19"/>
  <c r="N362" i="19"/>
  <c r="F362" i="19"/>
  <c r="O324" i="19"/>
  <c r="G324" i="19"/>
  <c r="N343" i="19"/>
  <c r="F343" i="19"/>
  <c r="N367" i="19"/>
  <c r="F367" i="19"/>
  <c r="O368" i="19"/>
  <c r="G368" i="19"/>
  <c r="O321" i="19"/>
  <c r="G321" i="19"/>
  <c r="F324" i="19"/>
  <c r="N324" i="19"/>
  <c r="H365" i="19"/>
  <c r="P365" i="19"/>
  <c r="P320" i="19"/>
  <c r="H320" i="19"/>
  <c r="L367" i="19"/>
  <c r="D367" i="19"/>
  <c r="O322" i="19"/>
  <c r="G322" i="19"/>
  <c r="G320" i="19"/>
  <c r="O320" i="19"/>
  <c r="N344" i="19"/>
  <c r="F344" i="19"/>
  <c r="P342" i="19"/>
  <c r="H342" i="19"/>
  <c r="O373" i="19"/>
  <c r="G373" i="19"/>
  <c r="L372" i="19"/>
  <c r="D372" i="19"/>
  <c r="N368" i="19"/>
  <c r="F368" i="19"/>
  <c r="H366" i="19"/>
  <c r="P366" i="19"/>
  <c r="O363" i="19"/>
  <c r="G363" i="19"/>
  <c r="L362" i="19"/>
  <c r="D362" i="19"/>
  <c r="D371" i="19"/>
  <c r="L371" i="19"/>
  <c r="O344" i="19"/>
  <c r="G344" i="19"/>
  <c r="P363" i="19"/>
  <c r="H363" i="19"/>
  <c r="N322" i="19"/>
  <c r="F322" i="19"/>
  <c r="F320" i="19"/>
  <c r="N320" i="19"/>
  <c r="G342" i="19"/>
  <c r="O342" i="19"/>
  <c r="L341" i="19"/>
  <c r="D341" i="19"/>
  <c r="N373" i="19"/>
  <c r="F373" i="19"/>
  <c r="P371" i="19"/>
  <c r="H371" i="19"/>
  <c r="O366" i="19"/>
  <c r="G366" i="19"/>
  <c r="L365" i="19"/>
  <c r="D365" i="19"/>
  <c r="N363" i="19"/>
  <c r="F363" i="19"/>
  <c r="N321" i="19"/>
  <c r="F321" i="19"/>
  <c r="O372" i="19"/>
  <c r="G372" i="19"/>
  <c r="P322" i="19"/>
  <c r="H322" i="19"/>
  <c r="L343" i="19"/>
  <c r="D343" i="19"/>
  <c r="P373" i="19"/>
  <c r="H373" i="19"/>
  <c r="N365" i="19"/>
  <c r="F365" i="19"/>
  <c r="D344" i="19"/>
  <c r="L344" i="19"/>
  <c r="F342" i="19"/>
  <c r="N342" i="19"/>
  <c r="H374" i="19"/>
  <c r="P374" i="19"/>
  <c r="O371" i="19"/>
  <c r="G371" i="19"/>
  <c r="L368" i="19"/>
  <c r="D368" i="19"/>
  <c r="N366" i="19"/>
  <c r="F366" i="19"/>
  <c r="H364" i="19"/>
  <c r="P364" i="19"/>
  <c r="N341" i="19"/>
  <c r="F341" i="19"/>
  <c r="P324" i="19"/>
  <c r="H324" i="19"/>
  <c r="H321" i="19"/>
  <c r="P321" i="19"/>
  <c r="L320" i="19"/>
  <c r="D320" i="19"/>
  <c r="P343" i="19"/>
  <c r="H343" i="19"/>
  <c r="O374" i="19"/>
  <c r="G374" i="19"/>
  <c r="L373" i="19"/>
  <c r="D373" i="19"/>
  <c r="N371" i="19"/>
  <c r="F371" i="19"/>
  <c r="P367" i="19"/>
  <c r="H367" i="19"/>
  <c r="O364" i="19"/>
  <c r="G364" i="19"/>
  <c r="L363" i="19"/>
  <c r="D363" i="19"/>
  <c r="O343" i="19"/>
  <c r="G343" i="19"/>
  <c r="D342" i="19"/>
  <c r="L342" i="19"/>
  <c r="N374" i="19"/>
  <c r="F374" i="19"/>
  <c r="P372" i="19"/>
  <c r="H372" i="19"/>
  <c r="O367" i="19"/>
  <c r="G367" i="19"/>
  <c r="L366" i="19"/>
  <c r="D366" i="19"/>
  <c r="N364" i="19"/>
  <c r="F364" i="19"/>
  <c r="P362" i="19"/>
  <c r="H362" i="19"/>
  <c r="M362" i="19"/>
  <c r="E362" i="19"/>
  <c r="M372" i="19"/>
  <c r="E372" i="19"/>
  <c r="M341" i="19"/>
  <c r="E341" i="19"/>
  <c r="M365" i="19"/>
  <c r="E365" i="19"/>
  <c r="M344" i="19"/>
  <c r="E344" i="19"/>
  <c r="E368" i="19"/>
  <c r="M368" i="19"/>
  <c r="E322" i="19"/>
  <c r="M322" i="19"/>
  <c r="M373" i="19"/>
  <c r="E373" i="19"/>
  <c r="M363" i="19"/>
  <c r="E363" i="19"/>
  <c r="E320" i="19"/>
  <c r="M320" i="19"/>
  <c r="E342" i="19"/>
  <c r="M342" i="19"/>
  <c r="M366" i="19"/>
  <c r="E366" i="19"/>
  <c r="M371" i="19"/>
  <c r="E371" i="19"/>
  <c r="M374" i="19"/>
  <c r="E374" i="19"/>
  <c r="M364" i="19"/>
  <c r="E364" i="19"/>
  <c r="E324" i="19"/>
  <c r="M324" i="19"/>
  <c r="E321" i="19"/>
  <c r="M321" i="19"/>
  <c r="M343" i="19"/>
  <c r="E343" i="19"/>
  <c r="E367" i="19"/>
  <c r="M367" i="19"/>
  <c r="C16" i="46" a="1"/>
  <c r="C16" i="46" s="1"/>
  <c r="I232" i="36"/>
  <c r="I231" i="36"/>
  <c r="I230" i="36"/>
  <c r="I194" i="36"/>
  <c r="I193" i="36"/>
  <c r="I192" i="36"/>
  <c r="I191" i="36"/>
  <c r="I190" i="36"/>
  <c r="H232" i="36"/>
  <c r="H231" i="36"/>
  <c r="H230" i="36"/>
  <c r="H194" i="36"/>
  <c r="H193" i="36"/>
  <c r="H192" i="36"/>
  <c r="H191" i="36"/>
  <c r="H190" i="36"/>
  <c r="D119" i="36"/>
  <c r="E126" i="36"/>
  <c r="M270" i="19" s="1"/>
  <c r="E127" i="36"/>
  <c r="E128" i="36"/>
  <c r="E125" i="36"/>
  <c r="M269" i="19" s="1"/>
  <c r="E118" i="36"/>
  <c r="E119" i="36"/>
  <c r="E117" i="36"/>
  <c r="E114" i="36"/>
  <c r="E115" i="36"/>
  <c r="E113" i="36"/>
  <c r="D126" i="36"/>
  <c r="E270" i="19" s="1"/>
  <c r="D127" i="36"/>
  <c r="E271" i="19" s="1"/>
  <c r="D128" i="36"/>
  <c r="E272" i="19" s="1"/>
  <c r="D125" i="36"/>
  <c r="D120" i="36"/>
  <c r="D117" i="36"/>
  <c r="D114" i="36"/>
  <c r="D115" i="36"/>
  <c r="D113" i="36"/>
  <c r="E88" i="36"/>
  <c r="P240" i="19" s="1"/>
  <c r="E89" i="36"/>
  <c r="L241" i="19" s="1"/>
  <c r="E90" i="36"/>
  <c r="E233" i="36" s="1"/>
  <c r="J233" i="36" s="1"/>
  <c r="E87" i="36"/>
  <c r="P239" i="19" s="1"/>
  <c r="D88" i="36"/>
  <c r="G240" i="19" s="1"/>
  <c r="D89" i="36"/>
  <c r="F241" i="19" s="1"/>
  <c r="D90" i="36"/>
  <c r="D233" i="36" s="1"/>
  <c r="D87" i="36"/>
  <c r="G239" i="19" s="1"/>
  <c r="E61" i="36"/>
  <c r="O219" i="19" s="1"/>
  <c r="E62" i="36"/>
  <c r="N220" i="19" s="1"/>
  <c r="E63" i="36"/>
  <c r="E64" i="36"/>
  <c r="O222" i="19" s="1"/>
  <c r="E60" i="36"/>
  <c r="P218" i="19" s="1"/>
  <c r="D61" i="36"/>
  <c r="H219" i="19" s="1"/>
  <c r="D62" i="36"/>
  <c r="D63" i="36"/>
  <c r="D64" i="36"/>
  <c r="H222" i="19" s="1"/>
  <c r="D60" i="36"/>
  <c r="G218" i="19" s="1"/>
  <c r="P27" i="35" a="1"/>
  <c r="P27" i="35" s="1"/>
  <c r="N27" i="35" a="1"/>
  <c r="N27" i="35" s="1"/>
  <c r="O27" i="35"/>
  <c r="E26" i="35" a="1"/>
  <c r="E26" i="35" s="1"/>
  <c r="C26" i="35" a="1"/>
  <c r="C26" i="35" s="1"/>
  <c r="D26" i="35"/>
  <c r="P9" i="35" a="1"/>
  <c r="P9" i="35" s="1"/>
  <c r="N9" i="35" a="1"/>
  <c r="N9" i="35" s="1"/>
  <c r="O9" i="35"/>
  <c r="E9" i="35" a="1"/>
  <c r="E9" i="35" s="1"/>
  <c r="C9" i="35" a="1"/>
  <c r="C9" i="35" s="1"/>
  <c r="D9" i="35"/>
  <c r="Y52" i="20"/>
  <c r="Y61" i="20"/>
  <c r="AN26" i="20"/>
  <c r="AE41" i="20"/>
  <c r="AE42" i="20" s="1" a="1"/>
  <c r="AE42" i="20" s="1"/>
  <c r="AE38" i="20"/>
  <c r="AE37" i="20"/>
  <c r="Q3" i="19"/>
  <c r="AE30" i="20" a="1"/>
  <c r="AE30" i="20" s="1"/>
  <c r="AE27" i="20"/>
  <c r="AE32" i="20" s="1" a="1"/>
  <c r="AE32" i="20" s="1"/>
  <c r="AE26" i="20" a="1"/>
  <c r="AE26" i="20" s="1"/>
  <c r="AE39" i="20"/>
  <c r="AE29" i="20"/>
  <c r="AE28" i="20"/>
  <c r="E61" i="20"/>
  <c r="I14" i="20"/>
  <c r="I13" i="20"/>
  <c r="I4" i="20"/>
  <c r="E52" i="20"/>
  <c r="K41" i="20"/>
  <c r="K42" i="20" s="1" a="1"/>
  <c r="K42" i="20" s="1"/>
  <c r="K39" i="20"/>
  <c r="K38" i="20"/>
  <c r="K37" i="20"/>
  <c r="T26" i="20"/>
  <c r="K30" i="20"/>
  <c r="K27" i="20"/>
  <c r="K32" i="20" s="1" a="1"/>
  <c r="K32" i="20" s="1"/>
  <c r="K26" i="20"/>
  <c r="K29" i="20"/>
  <c r="K28" i="20"/>
  <c r="H21" i="46"/>
  <c r="B232" i="36"/>
  <c r="B230" i="36"/>
  <c r="D107" i="36"/>
  <c r="E107" i="36"/>
  <c r="D108" i="36"/>
  <c r="E108" i="36"/>
  <c r="D109" i="36"/>
  <c r="E109" i="36"/>
  <c r="D110" i="36"/>
  <c r="E110" i="36"/>
  <c r="D111" i="36"/>
  <c r="E111" i="36"/>
  <c r="R259" i="19" s="1"/>
  <c r="E106" i="36"/>
  <c r="R254" i="19" s="1"/>
  <c r="D106" i="36"/>
  <c r="D101" i="36"/>
  <c r="E101" i="36"/>
  <c r="D102" i="36"/>
  <c r="E102" i="36"/>
  <c r="D103" i="36"/>
  <c r="E103" i="36"/>
  <c r="D104" i="36"/>
  <c r="E104" i="36"/>
  <c r="R253" i="19" s="1"/>
  <c r="E100" i="36"/>
  <c r="R249" i="19" s="1"/>
  <c r="D100" i="36"/>
  <c r="D95" i="36"/>
  <c r="E95" i="36"/>
  <c r="D96" i="36"/>
  <c r="E96" i="36"/>
  <c r="D97" i="36"/>
  <c r="E97" i="36"/>
  <c r="D98" i="36"/>
  <c r="E98" i="36"/>
  <c r="E94" i="36"/>
  <c r="D94" i="36"/>
  <c r="D83" i="36"/>
  <c r="E83" i="36"/>
  <c r="D84" i="36"/>
  <c r="E84" i="36"/>
  <c r="D85" i="36"/>
  <c r="E85" i="36"/>
  <c r="E82" i="36"/>
  <c r="D82" i="36"/>
  <c r="D78" i="36"/>
  <c r="E78" i="36"/>
  <c r="D79" i="36"/>
  <c r="E79" i="36"/>
  <c r="D80" i="36"/>
  <c r="E80" i="36"/>
  <c r="E77" i="36"/>
  <c r="D77" i="36"/>
  <c r="D73" i="36"/>
  <c r="E73" i="36"/>
  <c r="D74" i="36"/>
  <c r="E74" i="36"/>
  <c r="D75" i="36"/>
  <c r="E75" i="36"/>
  <c r="E72" i="36"/>
  <c r="D72" i="36"/>
  <c r="D68" i="36"/>
  <c r="E68" i="36"/>
  <c r="D69" i="36"/>
  <c r="E69" i="36"/>
  <c r="D70" i="36"/>
  <c r="E70" i="36"/>
  <c r="E67" i="36"/>
  <c r="D67" i="36"/>
  <c r="D48" i="36"/>
  <c r="E48" i="36"/>
  <c r="D49" i="36"/>
  <c r="E49" i="36"/>
  <c r="D50" i="36"/>
  <c r="E50" i="36"/>
  <c r="D51" i="36"/>
  <c r="E51" i="36"/>
  <c r="E47" i="36"/>
  <c r="D47" i="36"/>
  <c r="E42" i="36"/>
  <c r="E43" i="36"/>
  <c r="E44" i="36"/>
  <c r="E45" i="36"/>
  <c r="E41" i="36"/>
  <c r="D42" i="36"/>
  <c r="D43" i="36"/>
  <c r="D44" i="36"/>
  <c r="D45" i="36"/>
  <c r="D41" i="36"/>
  <c r="E37" i="36"/>
  <c r="E38" i="36"/>
  <c r="E39" i="36"/>
  <c r="E36" i="36"/>
  <c r="D37" i="36"/>
  <c r="D38" i="36"/>
  <c r="D39" i="36"/>
  <c r="D36" i="36"/>
  <c r="E32" i="36"/>
  <c r="E33" i="36"/>
  <c r="E34" i="36"/>
  <c r="E31" i="36"/>
  <c r="D32" i="36"/>
  <c r="D33" i="36"/>
  <c r="D34" i="36"/>
  <c r="D31" i="36"/>
  <c r="E24" i="36"/>
  <c r="E25" i="36"/>
  <c r="E26" i="36"/>
  <c r="E27" i="36"/>
  <c r="E28" i="36"/>
  <c r="E29" i="36"/>
  <c r="E23" i="36"/>
  <c r="M194" i="19" s="1"/>
  <c r="D24" i="36"/>
  <c r="D25" i="36"/>
  <c r="D26" i="36"/>
  <c r="D27" i="36"/>
  <c r="D28" i="36"/>
  <c r="D29" i="36"/>
  <c r="D23" i="36"/>
  <c r="E194" i="19" s="1"/>
  <c r="E17" i="36"/>
  <c r="E18" i="36"/>
  <c r="E19" i="36"/>
  <c r="E20" i="36"/>
  <c r="E21" i="36"/>
  <c r="E15" i="36"/>
  <c r="E16" i="36"/>
  <c r="E14" i="36"/>
  <c r="D15" i="36"/>
  <c r="D16" i="36"/>
  <c r="D17" i="36"/>
  <c r="D18" i="36"/>
  <c r="D19" i="36"/>
  <c r="D20" i="36"/>
  <c r="D21" i="36"/>
  <c r="D14" i="36"/>
  <c r="E9" i="36"/>
  <c r="E10" i="36"/>
  <c r="E11" i="36"/>
  <c r="E12" i="36"/>
  <c r="E8" i="36"/>
  <c r="R180" i="19" s="1"/>
  <c r="D9" i="36"/>
  <c r="D10" i="36"/>
  <c r="D11" i="36"/>
  <c r="D12" i="36"/>
  <c r="D8" i="36"/>
  <c r="C229" i="36"/>
  <c r="B194" i="36"/>
  <c r="B193" i="36"/>
  <c r="B192" i="36"/>
  <c r="B191" i="36" a="1"/>
  <c r="B191" i="36" s="1"/>
  <c r="B190" i="36"/>
  <c r="H188" i="36"/>
  <c r="C189" i="36"/>
  <c r="S3" i="36"/>
  <c r="B129" i="36" l="1" a="1"/>
  <c r="B129" i="36" s="1"/>
  <c r="T375" i="19"/>
  <c r="D131" i="19"/>
  <c r="F242" i="19"/>
  <c r="N242" i="19"/>
  <c r="D262" i="36"/>
  <c r="I263" i="19"/>
  <c r="I266" i="19"/>
  <c r="D265" i="36"/>
  <c r="I264" i="19"/>
  <c r="D263" i="36"/>
  <c r="Q263" i="19"/>
  <c r="E262" i="36"/>
  <c r="D264" i="36"/>
  <c r="I265" i="19"/>
  <c r="E265" i="36"/>
  <c r="Q266" i="19"/>
  <c r="E264" i="36"/>
  <c r="Q265" i="19"/>
  <c r="Q264" i="19"/>
  <c r="E263" i="36"/>
  <c r="F274" i="36"/>
  <c r="I262" i="19"/>
  <c r="D259" i="36"/>
  <c r="I261" i="19"/>
  <c r="D258" i="36"/>
  <c r="N260" i="19"/>
  <c r="Q260" i="19"/>
  <c r="E257" i="36"/>
  <c r="Q261" i="19"/>
  <c r="E258" i="36"/>
  <c r="Q262" i="19"/>
  <c r="E259" i="36"/>
  <c r="F260" i="19"/>
  <c r="I260" i="19"/>
  <c r="D257" i="36"/>
  <c r="L277" i="19"/>
  <c r="R278" i="19" s="1"/>
  <c r="Q372" i="19"/>
  <c r="Q373" i="19"/>
  <c r="Q374" i="19"/>
  <c r="T372" i="19"/>
  <c r="T373" i="19"/>
  <c r="T374" i="19"/>
  <c r="Q269" i="19"/>
  <c r="I270" i="19"/>
  <c r="Q270" i="19"/>
  <c r="I371" i="19"/>
  <c r="I271" i="19"/>
  <c r="Q271" i="19"/>
  <c r="I272" i="19"/>
  <c r="Q272" i="19"/>
  <c r="I269" i="19"/>
  <c r="T371" i="19"/>
  <c r="I372" i="19"/>
  <c r="Q371" i="19"/>
  <c r="I373" i="19"/>
  <c r="I374" i="19"/>
  <c r="I275" i="36"/>
  <c r="H275" i="36"/>
  <c r="G275" i="36"/>
  <c r="F275" i="36"/>
  <c r="E275" i="36"/>
  <c r="D275" i="36"/>
  <c r="B273" i="36"/>
  <c r="I273" i="36"/>
  <c r="H273" i="36"/>
  <c r="G273" i="36"/>
  <c r="F273" i="36"/>
  <c r="E273" i="36"/>
  <c r="D273" i="36"/>
  <c r="B275" i="36"/>
  <c r="I272" i="36"/>
  <c r="H272" i="36"/>
  <c r="G272" i="36"/>
  <c r="F272" i="36"/>
  <c r="E272" i="36"/>
  <c r="D272" i="36"/>
  <c r="B274" i="36"/>
  <c r="H274" i="36"/>
  <c r="E274" i="36"/>
  <c r="G274" i="36"/>
  <c r="B272" i="36"/>
  <c r="D274" i="36"/>
  <c r="I274" i="36"/>
  <c r="AE31" i="20" a="1"/>
  <c r="AE31" i="20" s="1"/>
  <c r="AE33" i="20" s="1"/>
  <c r="K31" i="20" a="1"/>
  <c r="K31" i="20" s="1"/>
  <c r="K33" i="20" s="1"/>
  <c r="Q184" i="19"/>
  <c r="L262" i="19"/>
  <c r="E262" i="19"/>
  <c r="M240" i="19"/>
  <c r="G262" i="19"/>
  <c r="M219" i="19"/>
  <c r="L260" i="19"/>
  <c r="E266" i="19"/>
  <c r="D264" i="19"/>
  <c r="L239" i="19"/>
  <c r="M239" i="19"/>
  <c r="N239" i="19"/>
  <c r="O242" i="19"/>
  <c r="N241" i="19"/>
  <c r="O241" i="19"/>
  <c r="P264" i="19"/>
  <c r="M261" i="19"/>
  <c r="E239" i="19"/>
  <c r="H241" i="19"/>
  <c r="D218" i="19"/>
  <c r="F239" i="19"/>
  <c r="N264" i="19"/>
  <c r="D242" i="19"/>
  <c r="F219" i="19"/>
  <c r="D239" i="19"/>
  <c r="F218" i="19"/>
  <c r="G242" i="19"/>
  <c r="D260" i="19"/>
  <c r="O218" i="19"/>
  <c r="H263" i="19"/>
  <c r="D262" i="19"/>
  <c r="P266" i="19"/>
  <c r="E194" i="36"/>
  <c r="J194" i="36" s="1"/>
  <c r="Q222" i="19"/>
  <c r="L222" i="19"/>
  <c r="E241" i="19"/>
  <c r="E219" i="19"/>
  <c r="M242" i="19"/>
  <c r="P219" i="19"/>
  <c r="L266" i="19"/>
  <c r="F263" i="19"/>
  <c r="D263" i="19"/>
  <c r="H264" i="19"/>
  <c r="P263" i="19"/>
  <c r="N222" i="19"/>
  <c r="O266" i="19"/>
  <c r="O239" i="19"/>
  <c r="O260" i="19"/>
  <c r="D194" i="36"/>
  <c r="I222" i="19"/>
  <c r="D222" i="19"/>
  <c r="E193" i="36"/>
  <c r="J193" i="36" s="1"/>
  <c r="Q221" i="19"/>
  <c r="M221" i="19"/>
  <c r="P221" i="19"/>
  <c r="N221" i="19"/>
  <c r="O221" i="19"/>
  <c r="L221" i="19"/>
  <c r="E240" i="19"/>
  <c r="E261" i="19"/>
  <c r="E263" i="19"/>
  <c r="M260" i="19"/>
  <c r="L264" i="19"/>
  <c r="G241" i="19"/>
  <c r="O262" i="19"/>
  <c r="D266" i="19"/>
  <c r="N240" i="19"/>
  <c r="N263" i="19"/>
  <c r="D241" i="19"/>
  <c r="O240" i="19"/>
  <c r="H261" i="19"/>
  <c r="F222" i="19"/>
  <c r="G266" i="19"/>
  <c r="G222" i="19"/>
  <c r="H266" i="19"/>
  <c r="G260" i="19"/>
  <c r="D193" i="36"/>
  <c r="I221" i="19"/>
  <c r="G221" i="19"/>
  <c r="E221" i="19"/>
  <c r="F221" i="19"/>
  <c r="D221" i="19"/>
  <c r="H221" i="19"/>
  <c r="E192" i="36"/>
  <c r="J192" i="36" s="1"/>
  <c r="Q220" i="19"/>
  <c r="L220" i="19"/>
  <c r="I242" i="19"/>
  <c r="E265" i="19"/>
  <c r="M222" i="19"/>
  <c r="E264" i="19"/>
  <c r="M220" i="19"/>
  <c r="M263" i="19"/>
  <c r="D261" i="19"/>
  <c r="H262" i="19"/>
  <c r="P261" i="19"/>
  <c r="G261" i="19"/>
  <c r="N266" i="19"/>
  <c r="D265" i="19"/>
  <c r="F265" i="19"/>
  <c r="G263" i="19"/>
  <c r="D190" i="36" a="1"/>
  <c r="D190" i="36" s="1"/>
  <c r="I218" i="19"/>
  <c r="D192" i="36"/>
  <c r="I220" i="19"/>
  <c r="D220" i="19"/>
  <c r="E191" i="36"/>
  <c r="J191" i="36" s="1"/>
  <c r="Q219" i="19"/>
  <c r="L219" i="19"/>
  <c r="D232" i="36"/>
  <c r="I241" i="19"/>
  <c r="J234" i="36"/>
  <c r="Q242" i="19"/>
  <c r="M265" i="19"/>
  <c r="M264" i="19"/>
  <c r="M218" i="19"/>
  <c r="E220" i="19"/>
  <c r="E242" i="19"/>
  <c r="L240" i="19"/>
  <c r="H265" i="19"/>
  <c r="P262" i="19"/>
  <c r="F240" i="19"/>
  <c r="P220" i="19"/>
  <c r="L263" i="19"/>
  <c r="F220" i="19"/>
  <c r="O261" i="19"/>
  <c r="F266" i="19"/>
  <c r="N265" i="19"/>
  <c r="O263" i="19"/>
  <c r="D191" i="36"/>
  <c r="I219" i="19"/>
  <c r="D219" i="19"/>
  <c r="D230" i="36"/>
  <c r="I239" i="19"/>
  <c r="D231" i="36"/>
  <c r="I240" i="19"/>
  <c r="E232" i="36"/>
  <c r="J232" i="36" s="1"/>
  <c r="Q241" i="19"/>
  <c r="E222" i="19"/>
  <c r="M266" i="19"/>
  <c r="P260" i="19"/>
  <c r="F262" i="19"/>
  <c r="G265" i="19"/>
  <c r="P241" i="19"/>
  <c r="L218" i="19"/>
  <c r="F264" i="19"/>
  <c r="N219" i="19"/>
  <c r="F261" i="19"/>
  <c r="O264" i="19"/>
  <c r="N218" i="19"/>
  <c r="O220" i="19"/>
  <c r="P242" i="19"/>
  <c r="E260" i="19"/>
  <c r="E190" i="36"/>
  <c r="J190" i="36" s="1"/>
  <c r="Q218" i="19"/>
  <c r="E230" i="36"/>
  <c r="J230" i="36" s="1"/>
  <c r="Q239" i="19"/>
  <c r="E231" i="36"/>
  <c r="J231" i="36" s="1"/>
  <c r="Q240" i="19"/>
  <c r="M241" i="19"/>
  <c r="M262" i="19"/>
  <c r="E218" i="19"/>
  <c r="H260" i="19"/>
  <c r="N262" i="19"/>
  <c r="O265" i="19"/>
  <c r="D240" i="19"/>
  <c r="L261" i="19"/>
  <c r="P265" i="19"/>
  <c r="P222" i="19"/>
  <c r="L242" i="19"/>
  <c r="H220" i="19"/>
  <c r="N261" i="19"/>
  <c r="G264" i="19"/>
  <c r="H240" i="19"/>
  <c r="G220" i="19"/>
  <c r="L265" i="19"/>
  <c r="H218" i="19"/>
  <c r="G219" i="19"/>
  <c r="H242" i="19"/>
  <c r="H239" i="19"/>
  <c r="L272" i="19"/>
  <c r="P272" i="19"/>
  <c r="O272" i="19"/>
  <c r="N272" i="19"/>
  <c r="H272" i="19"/>
  <c r="G272" i="19"/>
  <c r="F272" i="19"/>
  <c r="D272" i="19"/>
  <c r="M272" i="19"/>
  <c r="N271" i="19"/>
  <c r="L271" i="19"/>
  <c r="P271" i="19"/>
  <c r="O271" i="19"/>
  <c r="M271" i="19"/>
  <c r="H271" i="19"/>
  <c r="G271" i="19"/>
  <c r="F271" i="19"/>
  <c r="D271" i="19"/>
  <c r="G270" i="19"/>
  <c r="H270" i="19"/>
  <c r="F270" i="19"/>
  <c r="D270" i="19"/>
  <c r="P270" i="19"/>
  <c r="O270" i="19"/>
  <c r="N270" i="19"/>
  <c r="L270" i="19"/>
  <c r="H269" i="19"/>
  <c r="G269" i="19"/>
  <c r="F269" i="19"/>
  <c r="D269" i="19"/>
  <c r="P269" i="19"/>
  <c r="O269" i="19"/>
  <c r="L269" i="19"/>
  <c r="N269" i="19"/>
  <c r="E269" i="19" a="1"/>
  <c r="E269" i="19" s="1"/>
  <c r="C18" i="46"/>
  <c r="AE40" i="20" a="1"/>
  <c r="AE40" i="20" s="1"/>
  <c r="AE43" i="20" s="1" a="1"/>
  <c r="AE43" i="20" s="1"/>
  <c r="K40" i="20" a="1"/>
  <c r="K40" i="20" s="1"/>
  <c r="K43" i="20" s="1" a="1"/>
  <c r="K43" i="20" s="1"/>
  <c r="B252" i="36"/>
  <c r="B251" i="36"/>
  <c r="B250" i="36"/>
  <c r="B249" i="36"/>
  <c r="B241" i="36"/>
  <c r="H279" i="36" l="1"/>
  <c r="E279" i="36"/>
  <c r="Q278" i="19"/>
  <c r="H24" i="46"/>
  <c r="T377" i="19"/>
  <c r="T378" i="19" s="1"/>
  <c r="D279" i="36"/>
  <c r="I279" i="36"/>
  <c r="D18" i="46"/>
  <c r="C283" i="36"/>
  <c r="F276" i="36"/>
  <c r="G260" i="36"/>
  <c r="F266" i="36"/>
  <c r="G276" i="36"/>
  <c r="G266" i="36"/>
  <c r="F260" i="36"/>
  <c r="I15" i="20" a="1"/>
  <c r="I15" i="20" s="1"/>
  <c r="Z52" i="20" s="1"/>
  <c r="Q5" i="19"/>
  <c r="Q7" i="19" a="1"/>
  <c r="Q7" i="19" s="1"/>
  <c r="I17" i="20" a="1"/>
  <c r="I17" i="20" s="1"/>
  <c r="AB52" i="20" s="1"/>
  <c r="AN35" i="20"/>
  <c r="H22" i="46"/>
  <c r="S5" i="36"/>
  <c r="I6" i="20"/>
  <c r="F52" i="20" s="1" a="1"/>
  <c r="F52" i="20" s="1"/>
  <c r="S7" i="36" a="1"/>
  <c r="S7" i="36" s="1"/>
  <c r="I8" i="20"/>
  <c r="T35" i="20"/>
  <c r="F27" i="46" l="1"/>
  <c r="G27" i="46"/>
  <c r="C27" i="46"/>
  <c r="H27" i="46"/>
  <c r="D27" i="46"/>
  <c r="E27" i="46"/>
  <c r="H25" i="46"/>
  <c r="F30" i="46"/>
  <c r="AD50" i="20" s="1"/>
  <c r="D30" i="46"/>
  <c r="AD48" i="20" s="1"/>
  <c r="C26" i="46"/>
  <c r="H26" i="46"/>
  <c r="G30" i="46"/>
  <c r="AD51" i="20" s="1"/>
  <c r="E30" i="46"/>
  <c r="AD49" i="20" s="1"/>
  <c r="E26" i="46"/>
  <c r="H30" i="46"/>
  <c r="AD52" i="20" s="1"/>
  <c r="Q9" i="19" s="1"/>
  <c r="G26" i="46"/>
  <c r="D26" i="46"/>
  <c r="F26" i="46"/>
  <c r="C30" i="46"/>
  <c r="AD47" i="20" s="1"/>
  <c r="G141" i="19"/>
  <c r="Y117" i="35"/>
  <c r="Y114" i="35"/>
  <c r="Y118" i="35"/>
  <c r="Y116" i="35"/>
  <c r="Y115" i="35"/>
  <c r="H28" i="46"/>
  <c r="Y119" i="35"/>
  <c r="N31" i="46"/>
  <c r="Q8" i="19" a="1"/>
  <c r="Q8" i="19" s="1"/>
  <c r="I18" i="20" a="1"/>
  <c r="I18" i="20" s="1"/>
  <c r="AC52" i="20" s="1"/>
  <c r="H52" i="20" a="1"/>
  <c r="H52" i="20" s="1"/>
  <c r="S8" i="36" a="1"/>
  <c r="S8" i="36" s="1"/>
  <c r="I9" i="20"/>
  <c r="C133" i="44"/>
  <c r="D133" i="44"/>
  <c r="E133" i="44"/>
  <c r="F133" i="44"/>
  <c r="F134" i="44"/>
  <c r="H133" i="44"/>
  <c r="K133" i="44"/>
  <c r="B133" i="44"/>
  <c r="X117" i="35" l="1"/>
  <c r="Z117" i="35"/>
  <c r="X116" i="35"/>
  <c r="Z116" i="35"/>
  <c r="X114" i="35"/>
  <c r="Z114" i="35"/>
  <c r="X118" i="35"/>
  <c r="Z118" i="35"/>
  <c r="X115" i="35"/>
  <c r="Z115" i="35"/>
  <c r="N22" i="46"/>
  <c r="Y188" i="35"/>
  <c r="N21" i="46"/>
  <c r="Y187" i="35" a="1"/>
  <c r="Y187" i="35" s="1"/>
  <c r="Y190" i="35"/>
  <c r="N24" i="46"/>
  <c r="Y191" i="35"/>
  <c r="N25" i="46"/>
  <c r="N23" i="46"/>
  <c r="Y189" i="35"/>
  <c r="M31" i="46"/>
  <c r="X119" i="35"/>
  <c r="O31" i="46"/>
  <c r="Z119" i="35"/>
  <c r="Z191" i="35"/>
  <c r="M25" i="46"/>
  <c r="O25" i="46"/>
  <c r="O24" i="46"/>
  <c r="Z190" i="35"/>
  <c r="M24" i="46"/>
  <c r="M23" i="46"/>
  <c r="O23" i="46"/>
  <c r="Z189" i="35"/>
  <c r="Z188" i="35"/>
  <c r="M22" i="46"/>
  <c r="O22" i="46"/>
  <c r="Z187" i="35"/>
  <c r="M21" i="46"/>
  <c r="O21" i="46"/>
  <c r="J49" i="20"/>
  <c r="P9" i="36"/>
  <c r="X189" i="35"/>
  <c r="J47" i="20"/>
  <c r="N9" i="36"/>
  <c r="X187" i="35"/>
  <c r="L9" i="19"/>
  <c r="J48" i="20"/>
  <c r="X188" i="35"/>
  <c r="O9" i="36"/>
  <c r="P9" i="19"/>
  <c r="O9" i="19"/>
  <c r="J51" i="20"/>
  <c r="R9" i="36"/>
  <c r="X191" i="35"/>
  <c r="N9" i="19"/>
  <c r="J50" i="20"/>
  <c r="Q9" i="36"/>
  <c r="X190" i="35"/>
  <c r="M9" i="19"/>
  <c r="Y192" i="35"/>
  <c r="F279" i="36"/>
  <c r="P77" i="36" s="1"/>
  <c r="M26" i="46"/>
  <c r="X192" i="35"/>
  <c r="J52" i="20"/>
  <c r="S9" i="36"/>
  <c r="Z192" i="35"/>
  <c r="O26" i="46"/>
  <c r="N26" i="46"/>
  <c r="I52" i="20" a="1"/>
  <c r="I52" i="20" s="1"/>
  <c r="J39" i="20" l="1"/>
  <c r="I39" i="20"/>
  <c r="H39" i="20"/>
  <c r="G39" i="20"/>
  <c r="AD38" i="20" l="1"/>
  <c r="AC38" i="20"/>
  <c r="AB38" i="20"/>
  <c r="AA38" i="20"/>
  <c r="Z38" i="20"/>
  <c r="AD37" i="20"/>
  <c r="AC37" i="20"/>
  <c r="AB37" i="20"/>
  <c r="AA37" i="20"/>
  <c r="Z37" i="20"/>
  <c r="J38" i="20"/>
  <c r="I38" i="20"/>
  <c r="H38" i="20"/>
  <c r="G38" i="20"/>
  <c r="F38" i="20"/>
  <c r="J37" i="20"/>
  <c r="I37" i="20"/>
  <c r="H37" i="20"/>
  <c r="G37" i="20"/>
  <c r="F37" i="20"/>
  <c r="I308" i="19" l="1"/>
  <c r="D329" i="19"/>
  <c r="E329" i="19"/>
  <c r="F329" i="19"/>
  <c r="G329" i="19"/>
  <c r="H329" i="19"/>
  <c r="I329" i="19"/>
  <c r="D330" i="19"/>
  <c r="E330" i="19"/>
  <c r="F330" i="19"/>
  <c r="G330" i="19"/>
  <c r="H330" i="19"/>
  <c r="I330" i="19"/>
  <c r="D331" i="19"/>
  <c r="E331" i="19"/>
  <c r="F331" i="19"/>
  <c r="G331" i="19"/>
  <c r="H331" i="19"/>
  <c r="I331" i="19"/>
  <c r="D332" i="19"/>
  <c r="E332" i="19"/>
  <c r="F332" i="19"/>
  <c r="G332" i="19"/>
  <c r="H332" i="19"/>
  <c r="I332" i="19"/>
  <c r="D328" i="19"/>
  <c r="E328" i="19"/>
  <c r="F328" i="19"/>
  <c r="G328" i="19"/>
  <c r="H328" i="19"/>
  <c r="I328" i="19"/>
  <c r="D327" i="19"/>
  <c r="E327" i="19"/>
  <c r="F327" i="19"/>
  <c r="G327" i="19"/>
  <c r="H327" i="19"/>
  <c r="I327" i="19"/>
  <c r="D326" i="19"/>
  <c r="E326" i="19"/>
  <c r="F326" i="19"/>
  <c r="G326" i="19"/>
  <c r="H326" i="19"/>
  <c r="I326" i="19"/>
  <c r="D325" i="19"/>
  <c r="E325" i="19"/>
  <c r="F325" i="19"/>
  <c r="G325" i="19"/>
  <c r="H325" i="19"/>
  <c r="I325" i="19"/>
  <c r="D346" i="19"/>
  <c r="E346" i="19"/>
  <c r="F346" i="19"/>
  <c r="G346" i="19"/>
  <c r="H346" i="19"/>
  <c r="I346" i="19"/>
  <c r="D337" i="19"/>
  <c r="E337" i="19"/>
  <c r="F337" i="19"/>
  <c r="G337" i="19"/>
  <c r="H337" i="19"/>
  <c r="I337" i="19"/>
  <c r="D338" i="19"/>
  <c r="E338" i="19"/>
  <c r="F338" i="19"/>
  <c r="G338" i="19"/>
  <c r="H338" i="19"/>
  <c r="I338" i="19"/>
  <c r="D339" i="19"/>
  <c r="E339" i="19"/>
  <c r="F339" i="19"/>
  <c r="G339" i="19"/>
  <c r="H339" i="19"/>
  <c r="I339" i="19"/>
  <c r="D340" i="19"/>
  <c r="E340" i="19"/>
  <c r="F340" i="19"/>
  <c r="G340" i="19"/>
  <c r="H340" i="19"/>
  <c r="I340" i="19"/>
  <c r="D336" i="19"/>
  <c r="E336" i="19"/>
  <c r="F336" i="19"/>
  <c r="G336" i="19"/>
  <c r="H336" i="19"/>
  <c r="I336" i="19"/>
  <c r="D335" i="19"/>
  <c r="E335" i="19"/>
  <c r="F335" i="19"/>
  <c r="G335" i="19"/>
  <c r="H335" i="19"/>
  <c r="I335" i="19"/>
  <c r="D334" i="19"/>
  <c r="E334" i="19"/>
  <c r="F334" i="19"/>
  <c r="G334" i="19"/>
  <c r="H334" i="19"/>
  <c r="I334" i="19"/>
  <c r="D333" i="19"/>
  <c r="E333" i="19"/>
  <c r="F333" i="19"/>
  <c r="G333" i="19"/>
  <c r="H333" i="19"/>
  <c r="I333" i="19"/>
  <c r="D319" i="19"/>
  <c r="E319" i="19"/>
  <c r="F319" i="19"/>
  <c r="G319" i="19"/>
  <c r="H319" i="19"/>
  <c r="I319" i="19"/>
  <c r="D314" i="19"/>
  <c r="E314" i="19"/>
  <c r="F314" i="19"/>
  <c r="G314" i="19"/>
  <c r="H314" i="19"/>
  <c r="I314" i="19"/>
  <c r="D315" i="19"/>
  <c r="E315" i="19"/>
  <c r="F315" i="19"/>
  <c r="G315" i="19"/>
  <c r="H315" i="19"/>
  <c r="I315" i="19"/>
  <c r="D316" i="19"/>
  <c r="E316" i="19"/>
  <c r="F316" i="19"/>
  <c r="G316" i="19"/>
  <c r="H316" i="19"/>
  <c r="I316" i="19"/>
  <c r="D317" i="19"/>
  <c r="E317" i="19"/>
  <c r="F317" i="19"/>
  <c r="G317" i="19"/>
  <c r="H317" i="19"/>
  <c r="I317" i="19"/>
  <c r="D318" i="19"/>
  <c r="E318" i="19"/>
  <c r="F318" i="19"/>
  <c r="G318" i="19"/>
  <c r="H318" i="19"/>
  <c r="I318" i="19"/>
  <c r="D313" i="19"/>
  <c r="E313" i="19"/>
  <c r="F313" i="19"/>
  <c r="G313" i="19"/>
  <c r="H313" i="19"/>
  <c r="I313" i="19"/>
  <c r="D312" i="19"/>
  <c r="E312" i="19"/>
  <c r="F312" i="19"/>
  <c r="G312" i="19"/>
  <c r="H312" i="19"/>
  <c r="I312" i="19"/>
  <c r="D311" i="19"/>
  <c r="E311" i="19"/>
  <c r="F311" i="19"/>
  <c r="G311" i="19"/>
  <c r="H311" i="19"/>
  <c r="I311" i="19"/>
  <c r="D310" i="19"/>
  <c r="E310" i="19"/>
  <c r="F310" i="19"/>
  <c r="G310" i="19"/>
  <c r="H310" i="19"/>
  <c r="I310" i="19"/>
  <c r="D305" i="19"/>
  <c r="E305" i="19"/>
  <c r="F305" i="19"/>
  <c r="G305" i="19"/>
  <c r="H305" i="19"/>
  <c r="I305" i="19"/>
  <c r="D306" i="19"/>
  <c r="E306" i="19"/>
  <c r="F306" i="19"/>
  <c r="G306" i="19"/>
  <c r="H306" i="19"/>
  <c r="I306" i="19"/>
  <c r="D307" i="19"/>
  <c r="E307" i="19"/>
  <c r="F307" i="19"/>
  <c r="G307" i="19"/>
  <c r="H307" i="19"/>
  <c r="I307" i="19"/>
  <c r="D308" i="19"/>
  <c r="E308" i="19"/>
  <c r="F308" i="19"/>
  <c r="G308" i="19"/>
  <c r="H308" i="19"/>
  <c r="D309" i="19"/>
  <c r="E309" i="19"/>
  <c r="F309" i="19"/>
  <c r="G309" i="19"/>
  <c r="H309" i="19"/>
  <c r="I309" i="19"/>
  <c r="D304" i="19"/>
  <c r="E304" i="19"/>
  <c r="F304" i="19"/>
  <c r="G304" i="19"/>
  <c r="H304" i="19"/>
  <c r="I304" i="19"/>
  <c r="D303" i="19"/>
  <c r="E303" i="19"/>
  <c r="F303" i="19"/>
  <c r="G303" i="19"/>
  <c r="H303" i="19"/>
  <c r="I303" i="19"/>
  <c r="D302" i="19"/>
  <c r="E302" i="19"/>
  <c r="F302" i="19"/>
  <c r="G302" i="19"/>
  <c r="H302" i="19"/>
  <c r="I302" i="19"/>
  <c r="C254" i="36" l="1"/>
  <c r="C241" i="36"/>
  <c r="C242" i="36"/>
  <c r="C243" i="36"/>
  <c r="C244" i="36"/>
  <c r="C245" i="36"/>
  <c r="C246" i="36"/>
  <c r="C247" i="36"/>
  <c r="C248" i="36"/>
  <c r="C249" i="36"/>
  <c r="C250" i="36"/>
  <c r="C251" i="36"/>
  <c r="C252" i="36"/>
  <c r="C253" i="36"/>
  <c r="C152" i="36"/>
  <c r="C153" i="36"/>
  <c r="C154" i="36"/>
  <c r="C155" i="36"/>
  <c r="C156" i="36"/>
  <c r="C157" i="36"/>
  <c r="C158" i="36"/>
  <c r="C159" i="36"/>
  <c r="C160" i="36"/>
  <c r="C161" i="36"/>
  <c r="C162" i="36"/>
  <c r="C163" i="36"/>
  <c r="C164" i="36"/>
  <c r="C165" i="36"/>
  <c r="C166" i="36"/>
  <c r="C167" i="36"/>
  <c r="C168" i="36"/>
  <c r="C169" i="36"/>
  <c r="C170" i="36"/>
  <c r="C171" i="36"/>
  <c r="C172" i="36"/>
  <c r="C173" i="36"/>
  <c r="C174" i="36"/>
  <c r="C175" i="36"/>
  <c r="C176" i="36"/>
  <c r="C177" i="36"/>
  <c r="C178" i="36"/>
  <c r="C179" i="36"/>
  <c r="C180" i="36"/>
  <c r="C181" i="36"/>
  <c r="C182" i="36"/>
  <c r="C183" i="36"/>
  <c r="C184" i="36"/>
  <c r="C185" i="36"/>
  <c r="C186" i="36"/>
  <c r="C187" i="36"/>
  <c r="C188" i="36"/>
  <c r="C195" i="36"/>
  <c r="C196" i="36"/>
  <c r="C197" i="36"/>
  <c r="C198" i="36"/>
  <c r="C199" i="36"/>
  <c r="C200" i="36"/>
  <c r="C209" i="36"/>
  <c r="C210" i="36"/>
  <c r="C211" i="36"/>
  <c r="C212" i="36"/>
  <c r="C213" i="36"/>
  <c r="C214" i="36"/>
  <c r="C215" i="36"/>
  <c r="C216" i="36"/>
  <c r="C217" i="36"/>
  <c r="C218" i="36"/>
  <c r="C219" i="36"/>
  <c r="C220" i="36"/>
  <c r="C221" i="36"/>
  <c r="C222" i="36"/>
  <c r="C223" i="36"/>
  <c r="C224" i="36"/>
  <c r="C225" i="36"/>
  <c r="C226" i="36"/>
  <c r="C227" i="36"/>
  <c r="C228" i="36"/>
  <c r="C236" i="36"/>
  <c r="C237" i="36"/>
  <c r="C238" i="36"/>
  <c r="C239" i="36"/>
  <c r="C240" i="36"/>
  <c r="C151" i="36"/>
  <c r="AL1" i="41" l="1"/>
  <c r="AK1" i="41"/>
  <c r="AD1" i="41"/>
  <c r="AC1" i="41"/>
  <c r="AB1" i="41"/>
  <c r="AA1" i="41"/>
  <c r="Z1" i="41"/>
  <c r="Y1" i="41"/>
  <c r="X1" i="41"/>
  <c r="W1" i="41"/>
  <c r="V1" i="41"/>
  <c r="U1" i="41"/>
  <c r="T1" i="41"/>
  <c r="S1" i="41"/>
  <c r="R1" i="41"/>
  <c r="Q1" i="41"/>
  <c r="P1" i="41"/>
  <c r="O1" i="41"/>
  <c r="N1" i="41"/>
  <c r="M1" i="41"/>
  <c r="L1" i="41"/>
  <c r="K1" i="41"/>
  <c r="J1" i="41"/>
  <c r="I1" i="41"/>
  <c r="H1" i="41"/>
  <c r="G1" i="41"/>
  <c r="F1" i="41"/>
  <c r="E1" i="41"/>
  <c r="D1" i="41"/>
  <c r="O336" i="19" l="1"/>
  <c r="L336" i="19"/>
  <c r="P336" i="19"/>
  <c r="M336" i="19"/>
  <c r="Q336" i="19"/>
  <c r="N336" i="19"/>
  <c r="L205" i="19"/>
  <c r="P205" i="19"/>
  <c r="M205" i="19"/>
  <c r="N205" i="19"/>
  <c r="Q205" i="19"/>
  <c r="O205" i="19"/>
  <c r="O308" i="19"/>
  <c r="L308" i="19"/>
  <c r="P308" i="19"/>
  <c r="M308" i="19"/>
  <c r="Q308" i="19"/>
  <c r="N308" i="19"/>
  <c r="O228" i="19"/>
  <c r="L228" i="19"/>
  <c r="P228" i="19"/>
  <c r="M228" i="19"/>
  <c r="Q228" i="19"/>
  <c r="N228" i="19"/>
  <c r="O331" i="19"/>
  <c r="L331" i="19"/>
  <c r="P331" i="19"/>
  <c r="M331" i="19"/>
  <c r="Q331" i="19"/>
  <c r="N331" i="19"/>
  <c r="M224" i="19"/>
  <c r="Q224" i="19"/>
  <c r="N224" i="19"/>
  <c r="O224" i="19"/>
  <c r="L224" i="19"/>
  <c r="P224" i="19"/>
  <c r="M327" i="19"/>
  <c r="Q327" i="19"/>
  <c r="N327" i="19"/>
  <c r="O327" i="19"/>
  <c r="P327" i="19"/>
  <c r="L327" i="19"/>
  <c r="M232" i="19"/>
  <c r="Q232" i="19"/>
  <c r="N232" i="19"/>
  <c r="O232" i="19"/>
  <c r="L232" i="19"/>
  <c r="P232" i="19"/>
  <c r="M335" i="19"/>
  <c r="Q335" i="19"/>
  <c r="N335" i="19"/>
  <c r="O335" i="19"/>
  <c r="P335" i="19"/>
  <c r="L335" i="19"/>
  <c r="N206" i="19"/>
  <c r="O206" i="19"/>
  <c r="L206" i="19"/>
  <c r="P206" i="19"/>
  <c r="M206" i="19"/>
  <c r="Q206" i="19"/>
  <c r="M332" i="19"/>
  <c r="Q332" i="19"/>
  <c r="N332" i="19"/>
  <c r="O332" i="19"/>
  <c r="L332" i="19"/>
  <c r="P332" i="19"/>
  <c r="O328" i="19"/>
  <c r="L328" i="19"/>
  <c r="P328" i="19"/>
  <c r="M328" i="19"/>
  <c r="Q328" i="19"/>
  <c r="N328" i="19"/>
  <c r="O233" i="19"/>
  <c r="L233" i="19"/>
  <c r="P233" i="19"/>
  <c r="M233" i="19"/>
  <c r="Q233" i="19"/>
  <c r="N233" i="19"/>
  <c r="N204" i="19"/>
  <c r="L204" i="19"/>
  <c r="P204" i="19"/>
  <c r="M204" i="19"/>
  <c r="Q204" i="19"/>
  <c r="O204" i="19"/>
  <c r="O334" i="19"/>
  <c r="L334" i="19"/>
  <c r="P334" i="19"/>
  <c r="M334" i="19"/>
  <c r="Q334" i="19"/>
  <c r="N334" i="19"/>
  <c r="M309" i="19"/>
  <c r="Q309" i="19"/>
  <c r="N309" i="19"/>
  <c r="O309" i="19"/>
  <c r="P309" i="19"/>
  <c r="L309" i="19"/>
  <c r="M229" i="19"/>
  <c r="Q229" i="19"/>
  <c r="N229" i="19"/>
  <c r="O229" i="19"/>
  <c r="L229" i="19"/>
  <c r="P229" i="19"/>
  <c r="O225" i="19"/>
  <c r="L225" i="19"/>
  <c r="P225" i="19"/>
  <c r="M225" i="19"/>
  <c r="Q225" i="19"/>
  <c r="N225" i="19"/>
  <c r="O306" i="19"/>
  <c r="L306" i="19"/>
  <c r="P306" i="19"/>
  <c r="M306" i="19"/>
  <c r="Q306" i="19"/>
  <c r="N306" i="19"/>
  <c r="M307" i="19"/>
  <c r="Q307" i="19"/>
  <c r="N307" i="19"/>
  <c r="O307" i="19"/>
  <c r="L307" i="19"/>
  <c r="P307" i="19"/>
  <c r="M227" i="19"/>
  <c r="Q227" i="19"/>
  <c r="N227" i="19"/>
  <c r="O227" i="19"/>
  <c r="L227" i="19"/>
  <c r="P227" i="19"/>
  <c r="M330" i="19"/>
  <c r="Q330" i="19"/>
  <c r="N330" i="19"/>
  <c r="O330" i="19"/>
  <c r="L330" i="19"/>
  <c r="P330" i="19"/>
  <c r="O223" i="19"/>
  <c r="L223" i="19"/>
  <c r="P223" i="19"/>
  <c r="M223" i="19"/>
  <c r="Q223" i="19"/>
  <c r="N223" i="19"/>
  <c r="O326" i="19"/>
  <c r="L326" i="19"/>
  <c r="P326" i="19"/>
  <c r="M326" i="19"/>
  <c r="Q326" i="19"/>
  <c r="N326" i="19"/>
  <c r="O231" i="19"/>
  <c r="L231" i="19"/>
  <c r="P231" i="19"/>
  <c r="M231" i="19"/>
  <c r="Q231" i="19"/>
  <c r="N231" i="19"/>
  <c r="L207" i="19"/>
  <c r="P207" i="19"/>
  <c r="Q207" i="19"/>
  <c r="N207" i="19"/>
  <c r="O207" i="19"/>
  <c r="M207" i="19"/>
  <c r="O329" i="19"/>
  <c r="L329" i="19"/>
  <c r="P329" i="19"/>
  <c r="M329" i="19"/>
  <c r="Q329" i="19"/>
  <c r="N329" i="19"/>
  <c r="O230" i="19"/>
  <c r="L230" i="19"/>
  <c r="P230" i="19"/>
  <c r="M230" i="19"/>
  <c r="Q230" i="19"/>
  <c r="N230" i="19"/>
  <c r="M325" i="19"/>
  <c r="Q325" i="19"/>
  <c r="N325" i="19"/>
  <c r="O325" i="19"/>
  <c r="L325" i="19"/>
  <c r="P325" i="19"/>
  <c r="M226" i="19"/>
  <c r="Q226" i="19"/>
  <c r="N226" i="19"/>
  <c r="O226" i="19"/>
  <c r="P226" i="19"/>
  <c r="L226" i="19"/>
  <c r="M333" i="19"/>
  <c r="Q333" i="19"/>
  <c r="N333" i="19"/>
  <c r="O333" i="19"/>
  <c r="L333" i="19"/>
  <c r="P333" i="19"/>
  <c r="M234" i="19"/>
  <c r="Q234" i="19"/>
  <c r="N234" i="19"/>
  <c r="O234" i="19"/>
  <c r="P234" i="19"/>
  <c r="L234" i="19"/>
  <c r="D234" i="19"/>
  <c r="H234" i="19"/>
  <c r="G234" i="19"/>
  <c r="E234" i="19"/>
  <c r="I234" i="19"/>
  <c r="F234" i="19"/>
  <c r="D233" i="19"/>
  <c r="H233" i="19"/>
  <c r="E233" i="19"/>
  <c r="I233" i="19"/>
  <c r="F233" i="19"/>
  <c r="G233" i="19"/>
  <c r="D232" i="19"/>
  <c r="H232" i="19"/>
  <c r="E232" i="19"/>
  <c r="I232" i="19"/>
  <c r="F232" i="19"/>
  <c r="G232" i="19"/>
  <c r="D231" i="19"/>
  <c r="H231" i="19"/>
  <c r="E231" i="19"/>
  <c r="I231" i="19"/>
  <c r="F231" i="19"/>
  <c r="G231" i="19"/>
  <c r="D227" i="19"/>
  <c r="H227" i="19"/>
  <c r="E227" i="19"/>
  <c r="I227" i="19"/>
  <c r="F227" i="19"/>
  <c r="G227" i="19"/>
  <c r="F228" i="19"/>
  <c r="E228" i="19"/>
  <c r="G228" i="19"/>
  <c r="I228" i="19"/>
  <c r="D228" i="19"/>
  <c r="H228" i="19"/>
  <c r="F230" i="19"/>
  <c r="E230" i="19"/>
  <c r="G230" i="19"/>
  <c r="I230" i="19"/>
  <c r="D230" i="19"/>
  <c r="H230" i="19"/>
  <c r="D229" i="19"/>
  <c r="H229" i="19"/>
  <c r="E229" i="19"/>
  <c r="I229" i="19"/>
  <c r="F229" i="19"/>
  <c r="G229" i="19"/>
  <c r="D226" i="19"/>
  <c r="H226" i="19"/>
  <c r="E226" i="19"/>
  <c r="I226" i="19"/>
  <c r="F226" i="19"/>
  <c r="G226" i="19"/>
  <c r="D225" i="19"/>
  <c r="H225" i="19"/>
  <c r="E225" i="19"/>
  <c r="I225" i="19"/>
  <c r="G225" i="19"/>
  <c r="F225" i="19"/>
  <c r="D224" i="19"/>
  <c r="H224" i="19"/>
  <c r="E224" i="19"/>
  <c r="I224" i="19"/>
  <c r="F224" i="19"/>
  <c r="G224" i="19"/>
  <c r="D223" i="19"/>
  <c r="H223" i="19"/>
  <c r="E223" i="19"/>
  <c r="I223" i="19"/>
  <c r="F223" i="19"/>
  <c r="G223" i="19"/>
  <c r="F207" i="19"/>
  <c r="H207" i="19"/>
  <c r="E207" i="19"/>
  <c r="G207" i="19"/>
  <c r="D207" i="19"/>
  <c r="I207" i="19"/>
  <c r="F205" i="19"/>
  <c r="D205" i="19"/>
  <c r="E205" i="19"/>
  <c r="I205" i="19"/>
  <c r="G205" i="19"/>
  <c r="H205" i="19"/>
  <c r="D204" i="19"/>
  <c r="H204" i="19"/>
  <c r="E204" i="19"/>
  <c r="I204" i="19"/>
  <c r="F204" i="19"/>
  <c r="G204" i="19"/>
  <c r="D206" i="19"/>
  <c r="H206" i="19"/>
  <c r="F206" i="19"/>
  <c r="E206" i="19"/>
  <c r="I206" i="19"/>
  <c r="G206" i="19"/>
  <c r="D352" i="19"/>
  <c r="E352" i="19"/>
  <c r="F352" i="19"/>
  <c r="G352" i="19"/>
  <c r="H352" i="19"/>
  <c r="I352" i="19"/>
  <c r="D353" i="19"/>
  <c r="E353" i="19"/>
  <c r="F353" i="19"/>
  <c r="G353" i="19"/>
  <c r="H353" i="19"/>
  <c r="I353" i="19"/>
  <c r="D354" i="19"/>
  <c r="E354" i="19"/>
  <c r="F354" i="19"/>
  <c r="G354" i="19"/>
  <c r="H354" i="19"/>
  <c r="I354" i="19"/>
  <c r="D355" i="19"/>
  <c r="E355" i="19"/>
  <c r="F355" i="19"/>
  <c r="G355" i="19"/>
  <c r="H355" i="19"/>
  <c r="I355" i="19"/>
  <c r="D356" i="19"/>
  <c r="E356" i="19"/>
  <c r="F356" i="19"/>
  <c r="G356" i="19"/>
  <c r="H356" i="19"/>
  <c r="I356" i="19"/>
  <c r="D357" i="19"/>
  <c r="E357" i="19"/>
  <c r="F357" i="19"/>
  <c r="G357" i="19"/>
  <c r="H357" i="19"/>
  <c r="I357" i="19"/>
  <c r="D358" i="19"/>
  <c r="E358" i="19"/>
  <c r="F358" i="19"/>
  <c r="G358" i="19"/>
  <c r="H358" i="19"/>
  <c r="I358" i="19"/>
  <c r="D359" i="19"/>
  <c r="E359" i="19"/>
  <c r="F359" i="19"/>
  <c r="G359" i="19"/>
  <c r="H359" i="19"/>
  <c r="I359" i="19"/>
  <c r="D360" i="19"/>
  <c r="E360" i="19"/>
  <c r="F360" i="19"/>
  <c r="G360" i="19"/>
  <c r="H360" i="19"/>
  <c r="I360" i="19"/>
  <c r="D361" i="19"/>
  <c r="E361" i="19"/>
  <c r="F361" i="19"/>
  <c r="G361" i="19"/>
  <c r="H361" i="19"/>
  <c r="I361" i="19"/>
  <c r="D376" i="19"/>
  <c r="E376" i="19"/>
  <c r="F376" i="19"/>
  <c r="G376" i="19"/>
  <c r="H376" i="19"/>
  <c r="I376" i="19"/>
  <c r="D294" i="19"/>
  <c r="E294" i="19"/>
  <c r="F294" i="19"/>
  <c r="G294" i="19"/>
  <c r="H294" i="19"/>
  <c r="I294" i="19"/>
  <c r="D295" i="19"/>
  <c r="E295" i="19"/>
  <c r="F295" i="19"/>
  <c r="G295" i="19"/>
  <c r="H295" i="19"/>
  <c r="I295" i="19"/>
  <c r="D296" i="19"/>
  <c r="E296" i="19"/>
  <c r="F296" i="19"/>
  <c r="G296" i="19"/>
  <c r="H296" i="19"/>
  <c r="I296" i="19"/>
  <c r="D297" i="19"/>
  <c r="E297" i="19"/>
  <c r="F297" i="19"/>
  <c r="G297" i="19"/>
  <c r="H297" i="19"/>
  <c r="I297" i="19"/>
  <c r="D298" i="19"/>
  <c r="E298" i="19"/>
  <c r="F298" i="19"/>
  <c r="G298" i="19"/>
  <c r="H298" i="19"/>
  <c r="I298" i="19"/>
  <c r="D299" i="19"/>
  <c r="E299" i="19"/>
  <c r="F299" i="19"/>
  <c r="G299" i="19"/>
  <c r="H299" i="19"/>
  <c r="I299" i="19"/>
  <c r="D300" i="19"/>
  <c r="E300" i="19"/>
  <c r="F300" i="19"/>
  <c r="G300" i="19"/>
  <c r="H300" i="19"/>
  <c r="I300" i="19"/>
  <c r="D301" i="19"/>
  <c r="E301" i="19"/>
  <c r="F301" i="19"/>
  <c r="G301" i="19"/>
  <c r="H301" i="19"/>
  <c r="I301" i="19"/>
  <c r="G351" i="19"/>
  <c r="G350" i="19"/>
  <c r="G349" i="19"/>
  <c r="G348" i="19"/>
  <c r="G347" i="19"/>
  <c r="E351" i="19"/>
  <c r="E350" i="19"/>
  <c r="E349" i="19"/>
  <c r="E348" i="19"/>
  <c r="E347" i="19"/>
  <c r="D347" i="19"/>
  <c r="F347" i="19"/>
  <c r="H347" i="19"/>
  <c r="I347" i="19"/>
  <c r="D348" i="19"/>
  <c r="F348" i="19"/>
  <c r="H348" i="19"/>
  <c r="I348" i="19"/>
  <c r="D349" i="19"/>
  <c r="F349" i="19"/>
  <c r="H349" i="19"/>
  <c r="I349" i="19"/>
  <c r="D350" i="19"/>
  <c r="F350" i="19"/>
  <c r="H350" i="19"/>
  <c r="I350" i="19"/>
  <c r="D351" i="19"/>
  <c r="F351" i="19"/>
  <c r="H351" i="19"/>
  <c r="I351" i="19"/>
  <c r="I228" i="36" l="1"/>
  <c r="I223" i="36"/>
  <c r="I237" i="36"/>
  <c r="I238" i="36"/>
  <c r="I239" i="36"/>
  <c r="I240" i="36"/>
  <c r="I241" i="36"/>
  <c r="I243" i="36"/>
  <c r="I244" i="36"/>
  <c r="I245" i="36"/>
  <c r="I246" i="36"/>
  <c r="I247" i="36"/>
  <c r="I249" i="36"/>
  <c r="I250" i="36"/>
  <c r="I251" i="36"/>
  <c r="I252" i="36"/>
  <c r="I253" i="36"/>
  <c r="B228" i="36"/>
  <c r="I254" i="36"/>
  <c r="B254" i="36"/>
  <c r="B253" i="36"/>
  <c r="B247" i="36"/>
  <c r="B246" i="36"/>
  <c r="B245" i="36"/>
  <c r="B244" i="36"/>
  <c r="B243" i="36"/>
  <c r="B240" i="36"/>
  <c r="B239" i="36"/>
  <c r="B238" i="36"/>
  <c r="B237" i="36"/>
  <c r="I166" i="36"/>
  <c r="I172" i="36"/>
  <c r="I171" i="36"/>
  <c r="I170" i="36"/>
  <c r="I169" i="36"/>
  <c r="I168" i="36"/>
  <c r="I167" i="36"/>
  <c r="B172" i="36"/>
  <c r="B171" i="36"/>
  <c r="B170" i="36"/>
  <c r="B169" i="36"/>
  <c r="B168" i="36"/>
  <c r="B167" i="36"/>
  <c r="B166" i="36"/>
  <c r="H247" i="36"/>
  <c r="H251" i="36"/>
  <c r="E188" i="36"/>
  <c r="E245" i="36"/>
  <c r="J245" i="36" s="1"/>
  <c r="E250" i="36"/>
  <c r="J250" i="36" s="1"/>
  <c r="D223" i="36"/>
  <c r="E244" i="19"/>
  <c r="D240" i="36"/>
  <c r="D188" i="36"/>
  <c r="I237" i="19"/>
  <c r="D184" i="19"/>
  <c r="D180" i="36"/>
  <c r="N209" i="19" l="1"/>
  <c r="O209" i="19"/>
  <c r="L209" i="19"/>
  <c r="P209" i="19"/>
  <c r="M209" i="19"/>
  <c r="Q209" i="19"/>
  <c r="N203" i="19"/>
  <c r="L203" i="19"/>
  <c r="P203" i="19"/>
  <c r="O203" i="19"/>
  <c r="M203" i="19"/>
  <c r="Q203" i="19"/>
  <c r="M237" i="19"/>
  <c r="Q237" i="19"/>
  <c r="N237" i="19"/>
  <c r="O237" i="19"/>
  <c r="L237" i="19"/>
  <c r="P237" i="19"/>
  <c r="M217" i="19"/>
  <c r="Q217" i="19"/>
  <c r="N217" i="19"/>
  <c r="O217" i="19"/>
  <c r="P217" i="19"/>
  <c r="L217" i="19"/>
  <c r="M215" i="19"/>
  <c r="Q215" i="19"/>
  <c r="N215" i="19"/>
  <c r="O215" i="19"/>
  <c r="L215" i="19"/>
  <c r="P215" i="19"/>
  <c r="M316" i="19"/>
  <c r="Q316" i="19"/>
  <c r="N316" i="19"/>
  <c r="O316" i="19"/>
  <c r="L316" i="19"/>
  <c r="P316" i="19"/>
  <c r="M304" i="19"/>
  <c r="Q304" i="19"/>
  <c r="N304" i="19"/>
  <c r="O304" i="19"/>
  <c r="L304" i="19"/>
  <c r="P304" i="19"/>
  <c r="M340" i="19"/>
  <c r="Q340" i="19"/>
  <c r="N340" i="19"/>
  <c r="O340" i="19"/>
  <c r="L340" i="19"/>
  <c r="P340" i="19"/>
  <c r="M314" i="19"/>
  <c r="Q314" i="19"/>
  <c r="N314" i="19"/>
  <c r="O314" i="19"/>
  <c r="P314" i="19"/>
  <c r="L314" i="19"/>
  <c r="O214" i="19"/>
  <c r="L214" i="19"/>
  <c r="P214" i="19"/>
  <c r="M214" i="19"/>
  <c r="Q214" i="19"/>
  <c r="N214" i="19"/>
  <c r="L202" i="19"/>
  <c r="P202" i="19"/>
  <c r="M202" i="19"/>
  <c r="N202" i="19"/>
  <c r="O202" i="19"/>
  <c r="Q202" i="19"/>
  <c r="O236" i="19"/>
  <c r="L236" i="19"/>
  <c r="P236" i="19"/>
  <c r="M236" i="19"/>
  <c r="Q236" i="19"/>
  <c r="N236" i="19"/>
  <c r="N211" i="19"/>
  <c r="L211" i="19"/>
  <c r="P211" i="19"/>
  <c r="O211" i="19"/>
  <c r="M211" i="19"/>
  <c r="Q211" i="19"/>
  <c r="M312" i="19"/>
  <c r="Q312" i="19"/>
  <c r="N312" i="19"/>
  <c r="O312" i="19"/>
  <c r="L312" i="19"/>
  <c r="P312" i="19"/>
  <c r="M310" i="19"/>
  <c r="Q310" i="19"/>
  <c r="N310" i="19"/>
  <c r="O310" i="19"/>
  <c r="L310" i="19"/>
  <c r="P310" i="19"/>
  <c r="O303" i="19"/>
  <c r="L303" i="19"/>
  <c r="P303" i="19"/>
  <c r="M303" i="19"/>
  <c r="Q303" i="19"/>
  <c r="N303" i="19"/>
  <c r="O339" i="19"/>
  <c r="L339" i="19"/>
  <c r="P339" i="19"/>
  <c r="M339" i="19"/>
  <c r="Q339" i="19"/>
  <c r="N339" i="19"/>
  <c r="O319" i="19"/>
  <c r="P319" i="19"/>
  <c r="M319" i="19"/>
  <c r="Q319" i="19"/>
  <c r="N319" i="19"/>
  <c r="L208" i="19"/>
  <c r="P208" i="19"/>
  <c r="Q208" i="19"/>
  <c r="N208" i="19"/>
  <c r="M208" i="19"/>
  <c r="O208" i="19"/>
  <c r="N201" i="19"/>
  <c r="O201" i="19"/>
  <c r="L201" i="19"/>
  <c r="P201" i="19"/>
  <c r="M201" i="19"/>
  <c r="Q201" i="19"/>
  <c r="M235" i="19"/>
  <c r="Q235" i="19"/>
  <c r="N235" i="19"/>
  <c r="O235" i="19"/>
  <c r="L235" i="19"/>
  <c r="P235" i="19"/>
  <c r="O216" i="19"/>
  <c r="L216" i="19"/>
  <c r="P216" i="19"/>
  <c r="M216" i="19"/>
  <c r="Q216" i="19"/>
  <c r="N216" i="19"/>
  <c r="O317" i="19"/>
  <c r="L317" i="19"/>
  <c r="P317" i="19"/>
  <c r="M317" i="19"/>
  <c r="Q317" i="19"/>
  <c r="N317" i="19"/>
  <c r="O315" i="19"/>
  <c r="L315" i="19"/>
  <c r="P315" i="19"/>
  <c r="M315" i="19"/>
  <c r="Q315" i="19"/>
  <c r="N315" i="19"/>
  <c r="M302" i="19"/>
  <c r="Q302" i="19"/>
  <c r="N302" i="19"/>
  <c r="O302" i="19"/>
  <c r="L302" i="19"/>
  <c r="P302" i="19"/>
  <c r="M338" i="19"/>
  <c r="Q338" i="19"/>
  <c r="N338" i="19"/>
  <c r="O338" i="19"/>
  <c r="L338" i="19"/>
  <c r="P338" i="19"/>
  <c r="O313" i="19"/>
  <c r="L313" i="19"/>
  <c r="P313" i="19"/>
  <c r="M313" i="19"/>
  <c r="Q313" i="19"/>
  <c r="N313" i="19"/>
  <c r="M213" i="19"/>
  <c r="Q213" i="19"/>
  <c r="N213" i="19"/>
  <c r="O213" i="19"/>
  <c r="L213" i="19"/>
  <c r="P213" i="19"/>
  <c r="L200" i="19"/>
  <c r="P200" i="19"/>
  <c r="Q200" i="19"/>
  <c r="N200" i="19"/>
  <c r="M200" i="19"/>
  <c r="O200" i="19"/>
  <c r="O238" i="19"/>
  <c r="L238" i="19"/>
  <c r="P238" i="19"/>
  <c r="M238" i="19"/>
  <c r="Q238" i="19"/>
  <c r="N238" i="19"/>
  <c r="O212" i="19"/>
  <c r="L212" i="19"/>
  <c r="P212" i="19"/>
  <c r="M212" i="19"/>
  <c r="Q212" i="19"/>
  <c r="N212" i="19"/>
  <c r="L210" i="19"/>
  <c r="P210" i="19"/>
  <c r="M210" i="19"/>
  <c r="N210" i="19"/>
  <c r="O210" i="19"/>
  <c r="Q210" i="19"/>
  <c r="O311" i="19"/>
  <c r="L311" i="19"/>
  <c r="P311" i="19"/>
  <c r="M311" i="19"/>
  <c r="Q311" i="19"/>
  <c r="N311" i="19"/>
  <c r="O305" i="19"/>
  <c r="L305" i="19"/>
  <c r="P305" i="19"/>
  <c r="M305" i="19"/>
  <c r="Q305" i="19"/>
  <c r="N305" i="19"/>
  <c r="O337" i="19"/>
  <c r="L337" i="19"/>
  <c r="P337" i="19"/>
  <c r="M337" i="19"/>
  <c r="Q337" i="19"/>
  <c r="N337" i="19"/>
  <c r="M318" i="19"/>
  <c r="Q318" i="19"/>
  <c r="N318" i="19"/>
  <c r="O318" i="19"/>
  <c r="L318" i="19"/>
  <c r="P318" i="19"/>
  <c r="D235" i="19"/>
  <c r="H235" i="19"/>
  <c r="E235" i="19"/>
  <c r="I235" i="19"/>
  <c r="F235" i="19"/>
  <c r="G235" i="19"/>
  <c r="F238" i="19"/>
  <c r="H238" i="19"/>
  <c r="E238" i="19"/>
  <c r="G238" i="19"/>
  <c r="D238" i="19"/>
  <c r="I238" i="19"/>
  <c r="F236" i="19"/>
  <c r="D236" i="19"/>
  <c r="E236" i="19"/>
  <c r="G236" i="19"/>
  <c r="H236" i="19"/>
  <c r="I236" i="19"/>
  <c r="D237" i="19"/>
  <c r="H237" i="19"/>
  <c r="F237" i="19"/>
  <c r="E237" i="19"/>
  <c r="G237" i="19"/>
  <c r="D217" i="19"/>
  <c r="H217" i="19"/>
  <c r="E217" i="19"/>
  <c r="I217" i="19"/>
  <c r="F217" i="19"/>
  <c r="G217" i="19"/>
  <c r="D216" i="19"/>
  <c r="H216" i="19"/>
  <c r="E216" i="19"/>
  <c r="I216" i="19"/>
  <c r="F216" i="19"/>
  <c r="G216" i="19"/>
  <c r="D215" i="19"/>
  <c r="H215" i="19"/>
  <c r="E215" i="19"/>
  <c r="I215" i="19"/>
  <c r="F215" i="19"/>
  <c r="G215" i="19"/>
  <c r="D214" i="19"/>
  <c r="H214" i="19"/>
  <c r="E214" i="19"/>
  <c r="I214" i="19"/>
  <c r="F214" i="19"/>
  <c r="G214" i="19"/>
  <c r="D213" i="19"/>
  <c r="H213" i="19"/>
  <c r="E213" i="19"/>
  <c r="I213" i="19"/>
  <c r="F213" i="19"/>
  <c r="G213" i="19"/>
  <c r="D212" i="19"/>
  <c r="H212" i="19"/>
  <c r="E212" i="19"/>
  <c r="I212" i="19"/>
  <c r="F212" i="19"/>
  <c r="G212" i="19"/>
  <c r="D211" i="19"/>
  <c r="H211" i="19"/>
  <c r="E211" i="19"/>
  <c r="I211" i="19"/>
  <c r="F211" i="19"/>
  <c r="G211" i="19"/>
  <c r="D210" i="19"/>
  <c r="H210" i="19"/>
  <c r="E210" i="19"/>
  <c r="I210" i="19"/>
  <c r="F210" i="19"/>
  <c r="G210" i="19"/>
  <c r="D209" i="19"/>
  <c r="H209" i="19"/>
  <c r="E209" i="19"/>
  <c r="I209" i="19"/>
  <c r="F209" i="19"/>
  <c r="G209" i="19"/>
  <c r="D208" i="19"/>
  <c r="H208" i="19"/>
  <c r="E208" i="19"/>
  <c r="I208" i="19"/>
  <c r="F208" i="19"/>
  <c r="G208" i="19"/>
  <c r="D251" i="36"/>
  <c r="F256" i="19"/>
  <c r="G256" i="19"/>
  <c r="D256" i="19"/>
  <c r="H256" i="19"/>
  <c r="E256" i="19"/>
  <c r="I256" i="19"/>
  <c r="D246" i="36"/>
  <c r="F252" i="19"/>
  <c r="G252" i="19"/>
  <c r="D252" i="19"/>
  <c r="H252" i="19"/>
  <c r="I252" i="19"/>
  <c r="E252" i="19"/>
  <c r="D241" i="36"/>
  <c r="F248" i="19"/>
  <c r="G248" i="19"/>
  <c r="D248" i="19"/>
  <c r="H248" i="19"/>
  <c r="E248" i="19"/>
  <c r="I248" i="19"/>
  <c r="D237" i="36"/>
  <c r="G244" i="19"/>
  <c r="D244" i="19"/>
  <c r="H244" i="19"/>
  <c r="I244" i="19"/>
  <c r="F244" i="19"/>
  <c r="E253" i="36"/>
  <c r="J253" i="36" s="1"/>
  <c r="L258" i="19"/>
  <c r="P258" i="19"/>
  <c r="M258" i="19"/>
  <c r="Q258" i="19"/>
  <c r="N258" i="19"/>
  <c r="O258" i="19"/>
  <c r="E249" i="36"/>
  <c r="J249" i="36" s="1"/>
  <c r="L254" i="19"/>
  <c r="P254" i="19"/>
  <c r="M254" i="19"/>
  <c r="Q254" i="19"/>
  <c r="N254" i="19"/>
  <c r="O254" i="19"/>
  <c r="E244" i="36"/>
  <c r="J244" i="36" s="1"/>
  <c r="L250" i="19"/>
  <c r="P250" i="19"/>
  <c r="M250" i="19"/>
  <c r="Q250" i="19"/>
  <c r="N250" i="19"/>
  <c r="O250" i="19"/>
  <c r="E239" i="36"/>
  <c r="J239" i="36" s="1"/>
  <c r="L246" i="19"/>
  <c r="P246" i="19"/>
  <c r="M246" i="19"/>
  <c r="Q246" i="19"/>
  <c r="O246" i="19"/>
  <c r="N246" i="19"/>
  <c r="M360" i="19"/>
  <c r="Q360" i="19"/>
  <c r="N360" i="19"/>
  <c r="O360" i="19"/>
  <c r="L360" i="19"/>
  <c r="P360" i="19"/>
  <c r="H249" i="36"/>
  <c r="L356" i="19"/>
  <c r="Q356" i="19"/>
  <c r="M356" i="19"/>
  <c r="N356" i="19"/>
  <c r="O356" i="19"/>
  <c r="P356" i="19"/>
  <c r="H244" i="36"/>
  <c r="L352" i="19"/>
  <c r="Q352" i="19"/>
  <c r="M352" i="19"/>
  <c r="N352" i="19"/>
  <c r="O352" i="19"/>
  <c r="P352" i="19"/>
  <c r="H239" i="36"/>
  <c r="M348" i="19"/>
  <c r="Q348" i="19"/>
  <c r="N348" i="19"/>
  <c r="O348" i="19"/>
  <c r="L348" i="19"/>
  <c r="P348" i="19"/>
  <c r="D255" i="19"/>
  <c r="H255" i="19"/>
  <c r="E255" i="19"/>
  <c r="I255" i="19"/>
  <c r="F255" i="19"/>
  <c r="G255" i="19"/>
  <c r="D251" i="19"/>
  <c r="H251" i="19"/>
  <c r="E251" i="19"/>
  <c r="I251" i="19"/>
  <c r="F251" i="19"/>
  <c r="G251" i="19"/>
  <c r="D247" i="19"/>
  <c r="H247" i="19"/>
  <c r="E247" i="19"/>
  <c r="I247" i="19"/>
  <c r="F247" i="19"/>
  <c r="G247" i="19"/>
  <c r="E252" i="36"/>
  <c r="J252" i="36" s="1"/>
  <c r="N257" i="19"/>
  <c r="O257" i="19"/>
  <c r="Q257" i="19"/>
  <c r="L257" i="19"/>
  <c r="P257" i="19"/>
  <c r="M257" i="19"/>
  <c r="E247" i="36"/>
  <c r="J247" i="36" s="1"/>
  <c r="N253" i="19"/>
  <c r="O253" i="19"/>
  <c r="Q253" i="19"/>
  <c r="L253" i="19"/>
  <c r="P253" i="19"/>
  <c r="M253" i="19"/>
  <c r="E243" i="36"/>
  <c r="J243" i="36" s="1"/>
  <c r="N249" i="19"/>
  <c r="O249" i="19"/>
  <c r="Q249" i="19"/>
  <c r="L249" i="19"/>
  <c r="P249" i="19"/>
  <c r="M249" i="19"/>
  <c r="E238" i="36"/>
  <c r="J238" i="36" s="1"/>
  <c r="N245" i="19"/>
  <c r="O245" i="19"/>
  <c r="M245" i="19"/>
  <c r="L245" i="19"/>
  <c r="P245" i="19"/>
  <c r="Q245" i="19"/>
  <c r="H252" i="36"/>
  <c r="M358" i="19"/>
  <c r="Q358" i="19"/>
  <c r="O359" i="19"/>
  <c r="N358" i="19"/>
  <c r="L359" i="19"/>
  <c r="P359" i="19"/>
  <c r="O358" i="19"/>
  <c r="M359" i="19"/>
  <c r="Q359" i="19"/>
  <c r="L358" i="19"/>
  <c r="P358" i="19"/>
  <c r="N359" i="19"/>
  <c r="O355" i="19"/>
  <c r="M355" i="19"/>
  <c r="N355" i="19"/>
  <c r="P355" i="19"/>
  <c r="L355" i="19"/>
  <c r="Q355" i="19"/>
  <c r="O351" i="19"/>
  <c r="M351" i="19"/>
  <c r="N351" i="19"/>
  <c r="P351" i="19"/>
  <c r="L351" i="19"/>
  <c r="Q351" i="19"/>
  <c r="N347" i="19"/>
  <c r="P347" i="19"/>
  <c r="L347" i="19"/>
  <c r="Q347" i="19"/>
  <c r="M347" i="19"/>
  <c r="O347" i="19"/>
  <c r="D245" i="36"/>
  <c r="H253" i="36"/>
  <c r="D253" i="36"/>
  <c r="F258" i="19"/>
  <c r="G258" i="19"/>
  <c r="D258" i="19"/>
  <c r="H258" i="19"/>
  <c r="E258" i="19"/>
  <c r="I258" i="19"/>
  <c r="D249" i="36"/>
  <c r="F254" i="19"/>
  <c r="G254" i="19"/>
  <c r="D254" i="19"/>
  <c r="H254" i="19"/>
  <c r="I254" i="19"/>
  <c r="E254" i="19"/>
  <c r="D244" i="36"/>
  <c r="F250" i="19"/>
  <c r="G250" i="19"/>
  <c r="D250" i="19"/>
  <c r="H250" i="19"/>
  <c r="E250" i="19"/>
  <c r="I250" i="19"/>
  <c r="D239" i="36"/>
  <c r="F246" i="19"/>
  <c r="G246" i="19"/>
  <c r="D246" i="19"/>
  <c r="I246" i="19"/>
  <c r="E246" i="19"/>
  <c r="D254" i="36"/>
  <c r="D259" i="19"/>
  <c r="H259" i="19"/>
  <c r="E259" i="19"/>
  <c r="I259" i="19"/>
  <c r="F259" i="19"/>
  <c r="G259" i="19"/>
  <c r="E251" i="36"/>
  <c r="J251" i="36" s="1"/>
  <c r="L256" i="19"/>
  <c r="P256" i="19"/>
  <c r="O256" i="19"/>
  <c r="M256" i="19"/>
  <c r="Q256" i="19"/>
  <c r="N256" i="19"/>
  <c r="E246" i="36"/>
  <c r="J246" i="36" s="1"/>
  <c r="L252" i="19"/>
  <c r="P252" i="19"/>
  <c r="M252" i="19"/>
  <c r="Q252" i="19"/>
  <c r="O252" i="19"/>
  <c r="N252" i="19"/>
  <c r="E241" i="36"/>
  <c r="J241" i="36" s="1"/>
  <c r="L248" i="19"/>
  <c r="P248" i="19"/>
  <c r="M248" i="19"/>
  <c r="Q248" i="19"/>
  <c r="O248" i="19"/>
  <c r="N248" i="19"/>
  <c r="E237" i="36"/>
  <c r="J237" i="36" s="1"/>
  <c r="L244" i="19"/>
  <c r="P244" i="19"/>
  <c r="M244" i="19"/>
  <c r="Q244" i="19"/>
  <c r="O244" i="19"/>
  <c r="N244" i="19"/>
  <c r="H246" i="36"/>
  <c r="N354" i="19"/>
  <c r="O354" i="19"/>
  <c r="P354" i="19"/>
  <c r="L354" i="19"/>
  <c r="Q354" i="19"/>
  <c r="M354" i="19"/>
  <c r="H241" i="36"/>
  <c r="N350" i="19"/>
  <c r="O350" i="19"/>
  <c r="P350" i="19"/>
  <c r="L350" i="19"/>
  <c r="Q350" i="19"/>
  <c r="M350" i="19"/>
  <c r="H237" i="36"/>
  <c r="O346" i="19"/>
  <c r="P346" i="19"/>
  <c r="L346" i="19"/>
  <c r="Q346" i="19"/>
  <c r="M346" i="19"/>
  <c r="N346" i="19"/>
  <c r="D250" i="36"/>
  <c r="H238" i="36"/>
  <c r="D252" i="36"/>
  <c r="D257" i="19"/>
  <c r="H257" i="19"/>
  <c r="E257" i="19"/>
  <c r="I257" i="19"/>
  <c r="F257" i="19"/>
  <c r="G257" i="19"/>
  <c r="D247" i="36"/>
  <c r="D253" i="19"/>
  <c r="H253" i="19"/>
  <c r="E253" i="19"/>
  <c r="I253" i="19"/>
  <c r="F253" i="19"/>
  <c r="G253" i="19"/>
  <c r="D243" i="36"/>
  <c r="D249" i="19"/>
  <c r="H249" i="19"/>
  <c r="E249" i="19"/>
  <c r="I249" i="19"/>
  <c r="F249" i="19"/>
  <c r="G249" i="19"/>
  <c r="D238" i="36"/>
  <c r="E245" i="19"/>
  <c r="I245" i="19"/>
  <c r="F245" i="19"/>
  <c r="G245" i="19"/>
  <c r="D245" i="19"/>
  <c r="H245" i="19"/>
  <c r="E254" i="36"/>
  <c r="J254" i="36" s="1"/>
  <c r="N259" i="19"/>
  <c r="O259" i="19"/>
  <c r="L259" i="19"/>
  <c r="P259" i="19"/>
  <c r="Q259" i="19"/>
  <c r="M259" i="19"/>
  <c r="N255" i="19"/>
  <c r="O255" i="19"/>
  <c r="M255" i="19"/>
  <c r="L255" i="19"/>
  <c r="P255" i="19"/>
  <c r="Q255" i="19"/>
  <c r="N251" i="19"/>
  <c r="O251" i="19"/>
  <c r="M251" i="19"/>
  <c r="L251" i="19"/>
  <c r="P251" i="19"/>
  <c r="Q251" i="19"/>
  <c r="N247" i="19"/>
  <c r="O247" i="19"/>
  <c r="L247" i="19"/>
  <c r="P247" i="19"/>
  <c r="M247" i="19"/>
  <c r="Q247" i="19"/>
  <c r="H254" i="36"/>
  <c r="O361" i="19"/>
  <c r="L361" i="19"/>
  <c r="P361" i="19"/>
  <c r="M361" i="19"/>
  <c r="Q361" i="19"/>
  <c r="N361" i="19"/>
  <c r="H250" i="36"/>
  <c r="O357" i="19"/>
  <c r="L357" i="19"/>
  <c r="P357" i="19"/>
  <c r="M357" i="19"/>
  <c r="Q357" i="19"/>
  <c r="N357" i="19"/>
  <c r="H245" i="36"/>
  <c r="P353" i="19"/>
  <c r="L353" i="19"/>
  <c r="Q353" i="19"/>
  <c r="O353" i="19"/>
  <c r="M353" i="19"/>
  <c r="N353" i="19"/>
  <c r="H240" i="36"/>
  <c r="P349" i="19"/>
  <c r="L349" i="19"/>
  <c r="Q349" i="19"/>
  <c r="O349" i="19"/>
  <c r="M349" i="19"/>
  <c r="N349" i="19"/>
  <c r="E240" i="36"/>
  <c r="J240" i="36" s="1"/>
  <c r="H243" i="36"/>
  <c r="D170" i="36"/>
  <c r="F197" i="19"/>
  <c r="G197" i="19"/>
  <c r="D197" i="19"/>
  <c r="H197" i="19"/>
  <c r="E197" i="19"/>
  <c r="I197" i="19"/>
  <c r="D169" i="36"/>
  <c r="F196" i="19"/>
  <c r="H196" i="19"/>
  <c r="I196" i="19"/>
  <c r="G196" i="19"/>
  <c r="D196" i="19"/>
  <c r="E196" i="19"/>
  <c r="D172" i="36"/>
  <c r="H199" i="19"/>
  <c r="E199" i="19"/>
  <c r="I199" i="19"/>
  <c r="F199" i="19"/>
  <c r="D199" i="19"/>
  <c r="G199" i="19"/>
  <c r="E171" i="36"/>
  <c r="J171" i="36" s="1"/>
  <c r="O198" i="19"/>
  <c r="L198" i="19"/>
  <c r="P198" i="19"/>
  <c r="M198" i="19"/>
  <c r="Q198" i="19"/>
  <c r="N198" i="19"/>
  <c r="E167" i="36"/>
  <c r="J167" i="36" s="1"/>
  <c r="O194" i="19"/>
  <c r="L194" i="19"/>
  <c r="P194" i="19"/>
  <c r="Q194" i="19"/>
  <c r="N194" i="19"/>
  <c r="H171" i="36"/>
  <c r="O300" i="19"/>
  <c r="L300" i="19"/>
  <c r="P300" i="19"/>
  <c r="M300" i="19"/>
  <c r="Q300" i="19"/>
  <c r="N300" i="19"/>
  <c r="H167" i="36"/>
  <c r="O296" i="19"/>
  <c r="L296" i="19"/>
  <c r="P296" i="19"/>
  <c r="Q296" i="19"/>
  <c r="N296" i="19"/>
  <c r="D168" i="36"/>
  <c r="G195" i="19"/>
  <c r="D195" i="19"/>
  <c r="H195" i="19"/>
  <c r="F195" i="19"/>
  <c r="E195" i="19"/>
  <c r="I195" i="19"/>
  <c r="D171" i="36"/>
  <c r="E198" i="19"/>
  <c r="I198" i="19"/>
  <c r="F198" i="19"/>
  <c r="H198" i="19"/>
  <c r="G198" i="19"/>
  <c r="D198" i="19"/>
  <c r="E170" i="36"/>
  <c r="J170" i="36" s="1"/>
  <c r="M197" i="19"/>
  <c r="Q197" i="19"/>
  <c r="N197" i="19"/>
  <c r="O197" i="19"/>
  <c r="L197" i="19"/>
  <c r="P197" i="19"/>
  <c r="E166" i="36"/>
  <c r="J166" i="36" s="1"/>
  <c r="M193" i="19"/>
  <c r="Q193" i="19"/>
  <c r="N193" i="19"/>
  <c r="O193" i="19"/>
  <c r="L193" i="19"/>
  <c r="P193" i="19"/>
  <c r="H170" i="36"/>
  <c r="M299" i="19"/>
  <c r="Q299" i="19"/>
  <c r="N299" i="19"/>
  <c r="O299" i="19"/>
  <c r="L299" i="19"/>
  <c r="P299" i="19"/>
  <c r="H166" i="36"/>
  <c r="M295" i="19"/>
  <c r="Q295" i="19"/>
  <c r="N295" i="19"/>
  <c r="O295" i="19"/>
  <c r="M296" i="19"/>
  <c r="L295" i="19"/>
  <c r="P295" i="19"/>
  <c r="I194" i="19"/>
  <c r="H194" i="19"/>
  <c r="G194" i="19"/>
  <c r="D194" i="19"/>
  <c r="F194" i="19"/>
  <c r="E169" i="36"/>
  <c r="J169" i="36" s="1"/>
  <c r="O196" i="19"/>
  <c r="L196" i="19"/>
  <c r="P196" i="19"/>
  <c r="M196" i="19"/>
  <c r="Q196" i="19"/>
  <c r="N196" i="19"/>
  <c r="H169" i="36"/>
  <c r="O298" i="19"/>
  <c r="L298" i="19"/>
  <c r="P298" i="19"/>
  <c r="M298" i="19"/>
  <c r="Q298" i="19"/>
  <c r="N298" i="19"/>
  <c r="D166" i="36"/>
  <c r="I193" i="19"/>
  <c r="E193" i="19"/>
  <c r="G193" i="19"/>
  <c r="F193" i="19"/>
  <c r="H193" i="19"/>
  <c r="D193" i="19"/>
  <c r="E172" i="36"/>
  <c r="J172" i="36" s="1"/>
  <c r="M199" i="19"/>
  <c r="Q199" i="19"/>
  <c r="N199" i="19"/>
  <c r="O199" i="19"/>
  <c r="L199" i="19"/>
  <c r="P199" i="19"/>
  <c r="E168" i="36"/>
  <c r="J168" i="36" s="1"/>
  <c r="M195" i="19"/>
  <c r="Q195" i="19"/>
  <c r="N195" i="19"/>
  <c r="O195" i="19"/>
  <c r="L195" i="19"/>
  <c r="P195" i="19"/>
  <c r="H172" i="36"/>
  <c r="M301" i="19"/>
  <c r="Q301" i="19"/>
  <c r="N301" i="19"/>
  <c r="O301" i="19"/>
  <c r="L301" i="19"/>
  <c r="P301" i="19"/>
  <c r="H168" i="36"/>
  <c r="M297" i="19"/>
  <c r="Q297" i="19"/>
  <c r="N297" i="19"/>
  <c r="O297" i="19"/>
  <c r="L297" i="19"/>
  <c r="P297" i="19"/>
  <c r="D167" i="36"/>
  <c r="D183" i="19"/>
  <c r="I183" i="19"/>
  <c r="Z26" i="20"/>
  <c r="Z27" i="20"/>
  <c r="Z32" i="20" s="1"/>
  <c r="AJ26" i="20"/>
  <c r="E59" i="20"/>
  <c r="D4" i="20"/>
  <c r="D47" i="20" s="1"/>
  <c r="E4" i="20"/>
  <c r="D48" i="20" s="1"/>
  <c r="F4" i="20"/>
  <c r="D58" i="20" s="1"/>
  <c r="G4" i="20"/>
  <c r="D59" i="20" s="1"/>
  <c r="E57" i="20"/>
  <c r="E56" i="20"/>
  <c r="F41" i="20"/>
  <c r="F42" i="20" s="1"/>
  <c r="O26" i="20"/>
  <c r="Z41" i="20"/>
  <c r="Z42" i="20" s="1"/>
  <c r="B33" i="38"/>
  <c r="AD27" i="20"/>
  <c r="AD32" i="20" s="1"/>
  <c r="AC27" i="20"/>
  <c r="AC32" i="20" s="1"/>
  <c r="AB27" i="20"/>
  <c r="AB32" i="20" s="1"/>
  <c r="AA27" i="20"/>
  <c r="AA32" i="20" s="1"/>
  <c r="AD26" i="20"/>
  <c r="AD29" i="20"/>
  <c r="AC26" i="20"/>
  <c r="AC29" i="20"/>
  <c r="AB26" i="20"/>
  <c r="AB29" i="20"/>
  <c r="AA26" i="20"/>
  <c r="AA29" i="20"/>
  <c r="Z29" i="20"/>
  <c r="J27" i="20"/>
  <c r="J32" i="20" s="1"/>
  <c r="I27" i="20"/>
  <c r="I32" i="20" s="1"/>
  <c r="H27" i="20"/>
  <c r="H32" i="20" s="1"/>
  <c r="G27" i="20"/>
  <c r="G32" i="20" s="1"/>
  <c r="F27" i="20"/>
  <c r="F32" i="20" s="1"/>
  <c r="Y60" i="20"/>
  <c r="H4" i="20"/>
  <c r="X51" i="20" s="1"/>
  <c r="X60" i="20" s="1"/>
  <c r="F39" i="20"/>
  <c r="I41" i="20"/>
  <c r="I42" i="20" s="1"/>
  <c r="G41" i="20"/>
  <c r="G42" i="20" s="1"/>
  <c r="R26" i="20"/>
  <c r="P26" i="20"/>
  <c r="F26" i="20"/>
  <c r="F29" i="20"/>
  <c r="I26" i="20"/>
  <c r="G26" i="20"/>
  <c r="Q71" i="36"/>
  <c r="B33" i="1"/>
  <c r="G135" i="19"/>
  <c r="AB39" i="20"/>
  <c r="AA39" i="20"/>
  <c r="Z39" i="20"/>
  <c r="AD39" i="20"/>
  <c r="AC39" i="20"/>
  <c r="Q376" i="19"/>
  <c r="P376" i="19"/>
  <c r="O376" i="19"/>
  <c r="N376" i="19"/>
  <c r="M376" i="19"/>
  <c r="L376" i="19"/>
  <c r="Q274" i="19"/>
  <c r="P274" i="19"/>
  <c r="O274" i="19"/>
  <c r="N274" i="19"/>
  <c r="M274" i="19"/>
  <c r="L274" i="19"/>
  <c r="I293" i="19"/>
  <c r="H293" i="19"/>
  <c r="G293" i="19"/>
  <c r="F293" i="19"/>
  <c r="E293" i="19"/>
  <c r="D293" i="19"/>
  <c r="I292" i="19"/>
  <c r="H292" i="19"/>
  <c r="G292" i="19"/>
  <c r="F292" i="19"/>
  <c r="E292" i="19"/>
  <c r="D292" i="19"/>
  <c r="I291" i="19"/>
  <c r="H291" i="19"/>
  <c r="G291" i="19"/>
  <c r="F291" i="19"/>
  <c r="E291" i="19"/>
  <c r="D291" i="19"/>
  <c r="I290" i="19"/>
  <c r="H290" i="19"/>
  <c r="G290" i="19"/>
  <c r="F290" i="19"/>
  <c r="E290" i="19"/>
  <c r="D290" i="19"/>
  <c r="I289" i="19"/>
  <c r="H289" i="19"/>
  <c r="G289" i="19"/>
  <c r="F289" i="19"/>
  <c r="E289" i="19"/>
  <c r="D289" i="19"/>
  <c r="I288" i="19"/>
  <c r="H288" i="19"/>
  <c r="G288" i="19"/>
  <c r="F288" i="19"/>
  <c r="E288" i="19"/>
  <c r="D288" i="19"/>
  <c r="I287" i="19"/>
  <c r="H287" i="19"/>
  <c r="G287" i="19"/>
  <c r="F287" i="19"/>
  <c r="E287" i="19"/>
  <c r="D287" i="19"/>
  <c r="I286" i="19"/>
  <c r="H286" i="19"/>
  <c r="G286" i="19"/>
  <c r="F286" i="19"/>
  <c r="E286" i="19"/>
  <c r="D286" i="19"/>
  <c r="I285" i="19"/>
  <c r="H285" i="19"/>
  <c r="G285" i="19"/>
  <c r="F285" i="19"/>
  <c r="E285" i="19"/>
  <c r="D285" i="19"/>
  <c r="I284" i="19"/>
  <c r="H284" i="19"/>
  <c r="G284" i="19"/>
  <c r="F284" i="19"/>
  <c r="E284" i="19"/>
  <c r="D284" i="19"/>
  <c r="I283" i="19"/>
  <c r="H283" i="19"/>
  <c r="G283" i="19"/>
  <c r="F283" i="19"/>
  <c r="E283" i="19"/>
  <c r="D283" i="19"/>
  <c r="I282" i="19"/>
  <c r="H282" i="19"/>
  <c r="G282" i="19"/>
  <c r="F282" i="19"/>
  <c r="E282" i="19"/>
  <c r="D282" i="19"/>
  <c r="I274" i="19"/>
  <c r="H274" i="19"/>
  <c r="G274" i="19"/>
  <c r="F274" i="19"/>
  <c r="E274" i="19"/>
  <c r="AM26" i="20"/>
  <c r="AL26" i="20"/>
  <c r="AK26" i="20"/>
  <c r="AI26" i="20"/>
  <c r="Y59" i="20"/>
  <c r="Y58" i="20"/>
  <c r="Y57" i="20"/>
  <c r="Y56" i="20"/>
  <c r="Y51" i="20"/>
  <c r="Y50" i="20"/>
  <c r="Y49" i="20"/>
  <c r="Y48" i="20"/>
  <c r="Y47" i="20"/>
  <c r="H14" i="20"/>
  <c r="G14" i="20"/>
  <c r="F14" i="20"/>
  <c r="E14" i="20"/>
  <c r="D14" i="20"/>
  <c r="AD30" i="20"/>
  <c r="AC30" i="20"/>
  <c r="AB30" i="20"/>
  <c r="AA30" i="20"/>
  <c r="Z30" i="20"/>
  <c r="H5" i="20"/>
  <c r="G5" i="20"/>
  <c r="F5" i="20"/>
  <c r="E5" i="20"/>
  <c r="D5" i="20"/>
  <c r="AD41" i="20"/>
  <c r="AC41" i="20"/>
  <c r="AC42" i="20" s="1"/>
  <c r="AB41" i="20"/>
  <c r="AB42" i="20" s="1"/>
  <c r="AA41" i="20"/>
  <c r="AA42" i="20" s="1"/>
  <c r="AD28" i="20"/>
  <c r="AC28" i="20"/>
  <c r="AB28" i="20"/>
  <c r="AA28" i="20"/>
  <c r="Z28" i="20"/>
  <c r="E60" i="20"/>
  <c r="E58" i="20"/>
  <c r="H13" i="20"/>
  <c r="G13" i="20"/>
  <c r="F13" i="20"/>
  <c r="E13" i="20"/>
  <c r="D13" i="20"/>
  <c r="B151" i="36"/>
  <c r="I151" i="36"/>
  <c r="B152" i="36"/>
  <c r="I152" i="36"/>
  <c r="I227" i="36"/>
  <c r="I226" i="36"/>
  <c r="I225" i="36"/>
  <c r="I199" i="36"/>
  <c r="I198" i="36"/>
  <c r="I197" i="36"/>
  <c r="I196" i="36"/>
  <c r="I218" i="36"/>
  <c r="I217" i="36"/>
  <c r="I216" i="36"/>
  <c r="I215" i="36"/>
  <c r="I182" i="36"/>
  <c r="I181" i="36"/>
  <c r="I180" i="36"/>
  <c r="I179" i="36"/>
  <c r="B222" i="36"/>
  <c r="B227" i="36"/>
  <c r="B226" i="36"/>
  <c r="B225" i="36"/>
  <c r="B200" i="36"/>
  <c r="B199" i="36"/>
  <c r="B198" i="36"/>
  <c r="B197" i="36"/>
  <c r="B196" i="36"/>
  <c r="B218" i="36"/>
  <c r="B217" i="36"/>
  <c r="B216" i="36"/>
  <c r="B215" i="36"/>
  <c r="B182" i="36"/>
  <c r="B181" i="36"/>
  <c r="B180" i="36"/>
  <c r="B179" i="36"/>
  <c r="I222" i="36"/>
  <c r="B176" i="36"/>
  <c r="I176" i="36"/>
  <c r="R3" i="36"/>
  <c r="Q3" i="36"/>
  <c r="P3" i="36"/>
  <c r="O3" i="36"/>
  <c r="N3" i="36"/>
  <c r="P3" i="19"/>
  <c r="O3" i="19"/>
  <c r="N3" i="19"/>
  <c r="M3" i="19"/>
  <c r="L3" i="19"/>
  <c r="E209" i="36"/>
  <c r="E221" i="36"/>
  <c r="H228" i="36"/>
  <c r="H182" i="36"/>
  <c r="H181" i="36"/>
  <c r="H180" i="36"/>
  <c r="E227" i="36"/>
  <c r="J227" i="36" s="1"/>
  <c r="E216" i="36"/>
  <c r="E222" i="36"/>
  <c r="E200" i="36"/>
  <c r="H217" i="36"/>
  <c r="E196" i="36"/>
  <c r="J196" i="36" s="1"/>
  <c r="E179" i="36"/>
  <c r="J179" i="36" s="1"/>
  <c r="E215" i="36"/>
  <c r="J215" i="36" s="1"/>
  <c r="E228" i="36"/>
  <c r="J228" i="36" s="1"/>
  <c r="E199" i="36"/>
  <c r="J199" i="36" s="1"/>
  <c r="E197" i="36"/>
  <c r="J197" i="36" s="1"/>
  <c r="E218" i="36"/>
  <c r="J218" i="36" s="1"/>
  <c r="H222" i="36"/>
  <c r="E225" i="36"/>
  <c r="J225" i="36" s="1"/>
  <c r="E198" i="36"/>
  <c r="J198" i="36" s="1"/>
  <c r="D185" i="36"/>
  <c r="D179" i="36"/>
  <c r="D187" i="36"/>
  <c r="D198" i="36"/>
  <c r="D196" i="36"/>
  <c r="D216" i="36"/>
  <c r="D182" i="36"/>
  <c r="D217" i="36"/>
  <c r="D222" i="36"/>
  <c r="D220" i="36"/>
  <c r="D200" i="36"/>
  <c r="D186" i="36"/>
  <c r="D184" i="36"/>
  <c r="D221" i="36"/>
  <c r="D209" i="36"/>
  <c r="D197" i="36"/>
  <c r="H181" i="19"/>
  <c r="E182" i="19"/>
  <c r="D185" i="19"/>
  <c r="D186" i="19"/>
  <c r="D189" i="19"/>
  <c r="I201" i="19"/>
  <c r="E202" i="19"/>
  <c r="M181" i="19"/>
  <c r="P182" i="19"/>
  <c r="N184" i="19"/>
  <c r="N185" i="19"/>
  <c r="M189" i="19"/>
  <c r="P190" i="19"/>
  <c r="O180" i="19"/>
  <c r="M287" i="19"/>
  <c r="P288" i="19"/>
  <c r="Q291" i="19"/>
  <c r="N283" i="19"/>
  <c r="Q282" i="19"/>
  <c r="O289" i="19"/>
  <c r="P289" i="19"/>
  <c r="Q286" i="19"/>
  <c r="Q292" i="19"/>
  <c r="P292" i="19"/>
  <c r="O288" i="19"/>
  <c r="Q284" i="19"/>
  <c r="O190" i="19"/>
  <c r="O186" i="19"/>
  <c r="Q186" i="19"/>
  <c r="L187" i="19"/>
  <c r="N287" i="19"/>
  <c r="P287" i="19"/>
  <c r="E151" i="36"/>
  <c r="Q180" i="19"/>
  <c r="P180" i="19"/>
  <c r="M185" i="19"/>
  <c r="O185" i="19"/>
  <c r="Q181" i="19"/>
  <c r="L181" i="19"/>
  <c r="O293" i="19"/>
  <c r="Q283" i="19"/>
  <c r="P283" i="19"/>
  <c r="M294" i="19"/>
  <c r="L294" i="19"/>
  <c r="N294" i="19"/>
  <c r="M290" i="19"/>
  <c r="L290" i="19"/>
  <c r="N290" i="19"/>
  <c r="L286" i="19"/>
  <c r="N286" i="19"/>
  <c r="P192" i="19"/>
  <c r="O192" i="19"/>
  <c r="Q192" i="19"/>
  <c r="P188" i="19"/>
  <c r="O188" i="19"/>
  <c r="M188" i="19"/>
  <c r="O184" i="19"/>
  <c r="M184" i="19"/>
  <c r="P184" i="19"/>
  <c r="L184" i="19"/>
  <c r="G46" i="35"/>
  <c r="G52" i="35"/>
  <c r="G63" i="35"/>
  <c r="G59" i="35"/>
  <c r="G57" i="35"/>
  <c r="G66" i="35"/>
  <c r="G67" i="35"/>
  <c r="G45" i="35"/>
  <c r="G47" i="35"/>
  <c r="G49" i="35"/>
  <c r="G53" i="35"/>
  <c r="G60" i="35"/>
  <c r="G64" i="35"/>
  <c r="G68" i="35"/>
  <c r="V43" i="35"/>
  <c r="G48" i="35"/>
  <c r="G54" i="35"/>
  <c r="G50" i="35"/>
  <c r="G61" i="35"/>
  <c r="G65" i="35"/>
  <c r="G51" i="35"/>
  <c r="G58" i="35"/>
  <c r="G62" i="35"/>
  <c r="G55" i="35"/>
  <c r="G56" i="35"/>
  <c r="V41" i="35"/>
  <c r="G201" i="19"/>
  <c r="F201" i="19"/>
  <c r="E201" i="19"/>
  <c r="H201" i="19"/>
  <c r="D175" i="36"/>
  <c r="H186" i="19"/>
  <c r="F180" i="19"/>
  <c r="I180" i="19"/>
  <c r="E180" i="19"/>
  <c r="D180" i="19"/>
  <c r="D151" i="36"/>
  <c r="G200" i="19"/>
  <c r="I200" i="19"/>
  <c r="E200" i="19"/>
  <c r="D200" i="19"/>
  <c r="D174" i="36"/>
  <c r="E189" i="19"/>
  <c r="I185" i="19"/>
  <c r="E185" i="19"/>
  <c r="H185" i="19"/>
  <c r="G185" i="19"/>
  <c r="F185" i="19"/>
  <c r="D157" i="36"/>
  <c r="G190" i="19"/>
  <c r="F190" i="19"/>
  <c r="I190" i="19"/>
  <c r="E190" i="19"/>
  <c r="H190" i="19"/>
  <c r="D162" i="36"/>
  <c r="D190" i="19"/>
  <c r="F182" i="19"/>
  <c r="I182" i="19"/>
  <c r="H182" i="19"/>
  <c r="D182" i="19"/>
  <c r="D211" i="36"/>
  <c r="G203" i="19"/>
  <c r="F203" i="19"/>
  <c r="I203" i="19"/>
  <c r="E203" i="19"/>
  <c r="D177" i="36"/>
  <c r="D203" i="19"/>
  <c r="H203" i="19"/>
  <c r="G192" i="19"/>
  <c r="F192" i="19"/>
  <c r="I192" i="19"/>
  <c r="E192" i="19"/>
  <c r="D192" i="19"/>
  <c r="D164" i="36"/>
  <c r="H192" i="19"/>
  <c r="G188" i="19"/>
  <c r="F188" i="19"/>
  <c r="I188" i="19"/>
  <c r="E188" i="19"/>
  <c r="H188" i="19"/>
  <c r="D160" i="36"/>
  <c r="D188" i="19"/>
  <c r="G184" i="19"/>
  <c r="I184" i="19"/>
  <c r="D155" i="36"/>
  <c r="D213" i="36"/>
  <c r="G202" i="19"/>
  <c r="F202" i="19"/>
  <c r="I202" i="19"/>
  <c r="D202" i="19"/>
  <c r="D176" i="36"/>
  <c r="E191" i="19"/>
  <c r="D191" i="19"/>
  <c r="F191" i="19"/>
  <c r="D163" i="36"/>
  <c r="H187" i="19"/>
  <c r="D187" i="19"/>
  <c r="G187" i="19"/>
  <c r="B157" i="36"/>
  <c r="B163" i="36"/>
  <c r="B175" i="36"/>
  <c r="B177" i="36"/>
  <c r="B212" i="36"/>
  <c r="I221" i="36"/>
  <c r="I220" i="36"/>
  <c r="I186" i="36"/>
  <c r="I185" i="36"/>
  <c r="I184" i="36"/>
  <c r="I213" i="36"/>
  <c r="I212" i="36"/>
  <c r="I211" i="36"/>
  <c r="I210" i="36"/>
  <c r="I177" i="36"/>
  <c r="I175" i="36"/>
  <c r="I174" i="36"/>
  <c r="I164" i="36"/>
  <c r="I163" i="36"/>
  <c r="I162" i="36"/>
  <c r="I161" i="36"/>
  <c r="I160" i="36"/>
  <c r="I159" i="36"/>
  <c r="I158" i="36"/>
  <c r="I157" i="36"/>
  <c r="I155" i="36"/>
  <c r="I154" i="36"/>
  <c r="I153" i="36"/>
  <c r="B223" i="36"/>
  <c r="B221" i="36"/>
  <c r="B220" i="36"/>
  <c r="B188" i="36"/>
  <c r="J188" i="36" s="1"/>
  <c r="B187" i="36"/>
  <c r="B186" i="36"/>
  <c r="B185" i="36"/>
  <c r="B184" i="36"/>
  <c r="B213" i="36"/>
  <c r="B211" i="36"/>
  <c r="B210" i="36"/>
  <c r="B174" i="36"/>
  <c r="B164" i="36"/>
  <c r="B162" i="36"/>
  <c r="B161" i="36"/>
  <c r="B160" i="36"/>
  <c r="B159" i="36"/>
  <c r="B158" i="36"/>
  <c r="B155" i="36"/>
  <c r="B154" i="36"/>
  <c r="B153" i="36"/>
  <c r="H185" i="36"/>
  <c r="E186" i="36"/>
  <c r="J186" i="36" s="1"/>
  <c r="H186" i="36"/>
  <c r="E187" i="36"/>
  <c r="H209" i="36"/>
  <c r="E220" i="36"/>
  <c r="J220" i="36" s="1"/>
  <c r="H220" i="36"/>
  <c r="H221" i="36"/>
  <c r="H223" i="36"/>
  <c r="H184" i="36"/>
  <c r="E184" i="36"/>
  <c r="J184" i="36" s="1"/>
  <c r="H213" i="36"/>
  <c r="H212" i="36"/>
  <c r="E212" i="36"/>
  <c r="J212" i="36" s="1"/>
  <c r="H211" i="36"/>
  <c r="E211" i="36"/>
  <c r="J211" i="36" s="1"/>
  <c r="H210" i="36"/>
  <c r="H177" i="36"/>
  <c r="H175" i="36"/>
  <c r="E175" i="36"/>
  <c r="J175" i="36" s="1"/>
  <c r="E164" i="36"/>
  <c r="J164" i="36" s="1"/>
  <c r="E163" i="36"/>
  <c r="E162" i="36"/>
  <c r="J162" i="36" s="1"/>
  <c r="E160" i="36"/>
  <c r="J160" i="36" s="1"/>
  <c r="E159" i="36"/>
  <c r="J159" i="36" s="1"/>
  <c r="E158" i="36"/>
  <c r="J158" i="36" s="1"/>
  <c r="H157" i="36"/>
  <c r="E157" i="36"/>
  <c r="E155" i="36"/>
  <c r="J155" i="36" s="1"/>
  <c r="E154" i="36"/>
  <c r="J154" i="36" s="1"/>
  <c r="E153" i="36"/>
  <c r="J153" i="36" s="1"/>
  <c r="V40" i="35"/>
  <c r="V39" i="35"/>
  <c r="V38" i="35"/>
  <c r="V37" i="35"/>
  <c r="E51" i="20"/>
  <c r="E50" i="20"/>
  <c r="E49" i="20"/>
  <c r="E48" i="20"/>
  <c r="E47" i="20"/>
  <c r="J41" i="20"/>
  <c r="J42" i="20" s="1"/>
  <c r="H41" i="20"/>
  <c r="H42" i="20" s="1"/>
  <c r="D7" i="35"/>
  <c r="D6" i="35"/>
  <c r="D8" i="35"/>
  <c r="D4" i="35"/>
  <c r="D5" i="35"/>
  <c r="S26" i="20"/>
  <c r="Q26" i="20"/>
  <c r="J30" i="20"/>
  <c r="I30" i="20"/>
  <c r="H30" i="20"/>
  <c r="J29" i="20"/>
  <c r="J28" i="20"/>
  <c r="I29" i="20"/>
  <c r="I28" i="20"/>
  <c r="H29" i="20"/>
  <c r="H28" i="20"/>
  <c r="G30" i="20"/>
  <c r="G29" i="20"/>
  <c r="G28" i="20"/>
  <c r="F28" i="20"/>
  <c r="F30" i="20"/>
  <c r="V44" i="35"/>
  <c r="G69" i="35"/>
  <c r="F68" i="35"/>
  <c r="F67" i="35"/>
  <c r="F66" i="35"/>
  <c r="F65" i="35"/>
  <c r="F64" i="35"/>
  <c r="F63" i="35"/>
  <c r="F62" i="35"/>
  <c r="F61" i="35"/>
  <c r="F60" i="35"/>
  <c r="F59" i="35"/>
  <c r="F58" i="35"/>
  <c r="F57" i="35"/>
  <c r="F56" i="35"/>
  <c r="F55" i="35"/>
  <c r="F54" i="35"/>
  <c r="F53" i="35"/>
  <c r="F52" i="35"/>
  <c r="F51" i="35"/>
  <c r="F50" i="35"/>
  <c r="F49" i="35"/>
  <c r="F48" i="35"/>
  <c r="F47" i="35"/>
  <c r="F46" i="35"/>
  <c r="F45" i="35"/>
  <c r="O24" i="35"/>
  <c r="O25" i="35"/>
  <c r="O23" i="35"/>
  <c r="O22" i="35"/>
  <c r="O26" i="35"/>
  <c r="V72" i="35"/>
  <c r="V74" i="35"/>
  <c r="V73" i="35"/>
  <c r="V75" i="35"/>
  <c r="V71" i="35"/>
  <c r="V76" i="35"/>
  <c r="F69" i="35"/>
  <c r="E63" i="35"/>
  <c r="E62" i="35"/>
  <c r="E60" i="35"/>
  <c r="E61" i="35"/>
  <c r="D47" i="35"/>
  <c r="D49" i="35"/>
  <c r="E46" i="35"/>
  <c r="E53" i="35"/>
  <c r="E66" i="35"/>
  <c r="D54" i="35"/>
  <c r="D62" i="35"/>
  <c r="E65" i="35"/>
  <c r="E48" i="35"/>
  <c r="D50" i="35"/>
  <c r="E51" i="35"/>
  <c r="E54" i="35"/>
  <c r="E64" i="35"/>
  <c r="D56" i="35"/>
  <c r="E68" i="35"/>
  <c r="E57" i="35"/>
  <c r="D68" i="35"/>
  <c r="D46" i="35"/>
  <c r="E52" i="35"/>
  <c r="E58" i="35"/>
  <c r="D64" i="35"/>
  <c r="E47" i="35"/>
  <c r="E50" i="35"/>
  <c r="D53" i="35"/>
  <c r="D59" i="35"/>
  <c r="D61" i="35"/>
  <c r="D63" i="35"/>
  <c r="D55" i="35"/>
  <c r="E67" i="35"/>
  <c r="E56" i="35"/>
  <c r="D67" i="35"/>
  <c r="D48" i="35"/>
  <c r="D51" i="35"/>
  <c r="D60" i="35"/>
  <c r="D57" i="35"/>
  <c r="E49" i="35"/>
  <c r="D52" i="35"/>
  <c r="D58" i="35"/>
  <c r="E59" i="35"/>
  <c r="D65" i="35"/>
  <c r="E55" i="35"/>
  <c r="D66" i="35"/>
  <c r="V53" i="35"/>
  <c r="V60" i="35"/>
  <c r="V61" i="35"/>
  <c r="V50" i="35"/>
  <c r="V49" i="35"/>
  <c r="E45" i="35"/>
  <c r="V51" i="35"/>
  <c r="V63" i="35"/>
  <c r="V62" i="35"/>
  <c r="V52" i="35"/>
  <c r="V64" i="35"/>
  <c r="V59" i="35"/>
  <c r="D45" i="35"/>
  <c r="O7" i="35"/>
  <c r="O5" i="35"/>
  <c r="O8" i="35"/>
  <c r="O4" i="35"/>
  <c r="O6" i="35"/>
  <c r="V48" i="35"/>
  <c r="D25" i="35"/>
  <c r="D21" i="35"/>
  <c r="D22" i="35"/>
  <c r="D24" i="35"/>
  <c r="D23" i="35"/>
  <c r="E69" i="35"/>
  <c r="D69" i="35"/>
  <c r="H26" i="20"/>
  <c r="J26" i="20"/>
  <c r="V54" i="35"/>
  <c r="A3" i="5"/>
  <c r="A2" i="5"/>
  <c r="V65" i="35"/>
  <c r="V77" i="35"/>
  <c r="B278" i="36" l="1"/>
  <c r="H375" i="19"/>
  <c r="H377" i="19" s="1"/>
  <c r="G141" i="35" s="1"/>
  <c r="D375" i="19"/>
  <c r="D377" i="19" s="1"/>
  <c r="E375" i="19"/>
  <c r="E377" i="19" s="1"/>
  <c r="G138" i="35" s="1"/>
  <c r="F375" i="19"/>
  <c r="F377" i="19" s="1"/>
  <c r="G139" i="35" s="1"/>
  <c r="G375" i="19"/>
  <c r="G377" i="19" s="1"/>
  <c r="G140" i="35" s="1"/>
  <c r="J222" i="36"/>
  <c r="J221" i="36"/>
  <c r="J216" i="36"/>
  <c r="J200" i="36"/>
  <c r="J163" i="36"/>
  <c r="J157" i="36"/>
  <c r="J187" i="36"/>
  <c r="I375" i="19"/>
  <c r="I377" i="19" s="1"/>
  <c r="G142" i="35" s="1"/>
  <c r="I278" i="36"/>
  <c r="P76" i="36" s="1"/>
  <c r="J151" i="36"/>
  <c r="B283" i="36"/>
  <c r="AD42" i="20"/>
  <c r="D49" i="20"/>
  <c r="X49" i="20"/>
  <c r="X58" i="20" s="1"/>
  <c r="D56" i="20"/>
  <c r="D60" i="20"/>
  <c r="J31" i="20"/>
  <c r="J33" i="20" s="1"/>
  <c r="F31" i="20"/>
  <c r="F33" i="20" s="1"/>
  <c r="N5" i="36" s="1"/>
  <c r="X50" i="20"/>
  <c r="X59" i="20" s="1"/>
  <c r="H31" i="20"/>
  <c r="H33" i="20" s="1"/>
  <c r="D51" i="20"/>
  <c r="X47" i="20"/>
  <c r="AA31" i="20"/>
  <c r="AA33" i="20" s="1"/>
  <c r="M5" i="19" s="1"/>
  <c r="G31" i="20"/>
  <c r="G33" i="20" s="1"/>
  <c r="I31" i="20"/>
  <c r="I33" i="20" s="1"/>
  <c r="AB31" i="20"/>
  <c r="AB33" i="20" s="1"/>
  <c r="N5" i="19" s="1"/>
  <c r="AC31" i="20"/>
  <c r="AC33" i="20" s="1"/>
  <c r="O5" i="19" s="1"/>
  <c r="Z40" i="20"/>
  <c r="Z43" i="20" s="1"/>
  <c r="AC40" i="20"/>
  <c r="AC43" i="20" s="1"/>
  <c r="AL35" i="20" s="1"/>
  <c r="AB40" i="20"/>
  <c r="AB43" i="20" s="1"/>
  <c r="AD40" i="20"/>
  <c r="AA40" i="20"/>
  <c r="AA43" i="20" s="1"/>
  <c r="AD31" i="20"/>
  <c r="AD33" i="20" s="1"/>
  <c r="P5" i="19" s="1"/>
  <c r="F40" i="20"/>
  <c r="F43" i="20" s="1"/>
  <c r="G181" i="19"/>
  <c r="E183" i="19"/>
  <c r="J40" i="20"/>
  <c r="J43" i="20" s="1"/>
  <c r="I40" i="20"/>
  <c r="I43" i="20" s="1"/>
  <c r="Q187" i="19"/>
  <c r="O187" i="19"/>
  <c r="M187" i="19"/>
  <c r="P187" i="19"/>
  <c r="D181" i="19"/>
  <c r="E181" i="19"/>
  <c r="F181" i="19"/>
  <c r="D199" i="36"/>
  <c r="N187" i="19"/>
  <c r="M293" i="19"/>
  <c r="N293" i="19"/>
  <c r="L293" i="19"/>
  <c r="H163" i="36"/>
  <c r="N289" i="19"/>
  <c r="L289" i="19"/>
  <c r="Q289" i="19"/>
  <c r="M289" i="19"/>
  <c r="H159" i="36"/>
  <c r="P285" i="19"/>
  <c r="H154" i="36"/>
  <c r="L285" i="19"/>
  <c r="N285" i="19"/>
  <c r="Q285" i="19"/>
  <c r="O285" i="19"/>
  <c r="E176" i="36"/>
  <c r="J176" i="36" s="1"/>
  <c r="P191" i="19"/>
  <c r="N191" i="19"/>
  <c r="L191" i="19"/>
  <c r="Q191" i="19"/>
  <c r="O191" i="19"/>
  <c r="L183" i="19"/>
  <c r="Q183" i="19"/>
  <c r="O183" i="19"/>
  <c r="M183" i="19"/>
  <c r="N183" i="19"/>
  <c r="E186" i="19"/>
  <c r="F186" i="19"/>
  <c r="D158" i="36"/>
  <c r="E213" i="36"/>
  <c r="J213" i="36" s="1"/>
  <c r="E180" i="36"/>
  <c r="J180" i="36" s="1"/>
  <c r="D226" i="36"/>
  <c r="E185" i="36"/>
  <c r="J185" i="36" s="1"/>
  <c r="H176" i="36"/>
  <c r="I181" i="19"/>
  <c r="I186" i="19"/>
  <c r="P293" i="19"/>
  <c r="M285" i="19"/>
  <c r="D152" i="36"/>
  <c r="G186" i="19"/>
  <c r="Q293" i="19"/>
  <c r="P183" i="19"/>
  <c r="M191" i="19"/>
  <c r="H40" i="20"/>
  <c r="H43" i="20" s="1"/>
  <c r="E174" i="36"/>
  <c r="J174" i="36" s="1"/>
  <c r="E184" i="19"/>
  <c r="M283" i="19"/>
  <c r="P181" i="19"/>
  <c r="P185" i="19"/>
  <c r="M180" i="19"/>
  <c r="L287" i="19"/>
  <c r="O287" i="19"/>
  <c r="E181" i="36"/>
  <c r="J181" i="36" s="1"/>
  <c r="H199" i="36"/>
  <c r="H174" i="36"/>
  <c r="E210" i="36"/>
  <c r="J210" i="36" s="1"/>
  <c r="D212" i="36"/>
  <c r="H184" i="19"/>
  <c r="F184" i="19"/>
  <c r="O283" i="19"/>
  <c r="H152" i="36"/>
  <c r="O181" i="19"/>
  <c r="E152" i="36"/>
  <c r="J152" i="36" s="1"/>
  <c r="Q185" i="19"/>
  <c r="N180" i="19"/>
  <c r="Q287" i="19"/>
  <c r="D225" i="36"/>
  <c r="D227" i="36"/>
  <c r="G40" i="20"/>
  <c r="G43" i="20" s="1"/>
  <c r="H161" i="36"/>
  <c r="G189" i="19"/>
  <c r="N291" i="19"/>
  <c r="L189" i="19"/>
  <c r="E161" i="36"/>
  <c r="J161" i="36" s="1"/>
  <c r="D161" i="36"/>
  <c r="I189" i="19"/>
  <c r="M291" i="19"/>
  <c r="O189" i="19"/>
  <c r="N189" i="19"/>
  <c r="P291" i="19"/>
  <c r="O291" i="19"/>
  <c r="P189" i="19"/>
  <c r="L291" i="19"/>
  <c r="Q189" i="19"/>
  <c r="H151" i="36"/>
  <c r="N282" i="19"/>
  <c r="L282" i="19"/>
  <c r="M282" i="19"/>
  <c r="L292" i="19"/>
  <c r="H162" i="36"/>
  <c r="M292" i="19"/>
  <c r="N292" i="19"/>
  <c r="M288" i="19"/>
  <c r="N288" i="19"/>
  <c r="H158" i="36"/>
  <c r="L288" i="19"/>
  <c r="N284" i="19"/>
  <c r="H153" i="36"/>
  <c r="L284" i="19"/>
  <c r="M284" i="19"/>
  <c r="N190" i="19"/>
  <c r="L190" i="19"/>
  <c r="M190" i="19"/>
  <c r="L186" i="19"/>
  <c r="M186" i="19"/>
  <c r="N186" i="19"/>
  <c r="M182" i="19"/>
  <c r="N182" i="19"/>
  <c r="L182" i="19"/>
  <c r="I191" i="19"/>
  <c r="G191" i="19"/>
  <c r="E187" i="19"/>
  <c r="D159" i="36"/>
  <c r="E223" i="36"/>
  <c r="J223" i="36" s="1"/>
  <c r="H179" i="36"/>
  <c r="D181" i="36"/>
  <c r="E182" i="36"/>
  <c r="J182" i="36" s="1"/>
  <c r="H215" i="36"/>
  <c r="D218" i="36"/>
  <c r="E217" i="36"/>
  <c r="J217" i="36" s="1"/>
  <c r="D228" i="36"/>
  <c r="H227" i="36"/>
  <c r="H225" i="36"/>
  <c r="H187" i="36"/>
  <c r="H198" i="36"/>
  <c r="H196" i="36"/>
  <c r="Q182" i="19"/>
  <c r="P186" i="19"/>
  <c r="O284" i="19"/>
  <c r="Q288" i="19"/>
  <c r="O282" i="19"/>
  <c r="F187" i="19"/>
  <c r="I187" i="19"/>
  <c r="H191" i="19"/>
  <c r="H202" i="19"/>
  <c r="D210" i="36"/>
  <c r="D153" i="36"/>
  <c r="G182" i="19"/>
  <c r="O182" i="19"/>
  <c r="Q190" i="19"/>
  <c r="P284" i="19"/>
  <c r="O292" i="19"/>
  <c r="P282" i="19"/>
  <c r="Q294" i="19"/>
  <c r="O294" i="19"/>
  <c r="H164" i="36"/>
  <c r="P294" i="19"/>
  <c r="P290" i="19"/>
  <c r="H160" i="36"/>
  <c r="Q290" i="19"/>
  <c r="O290" i="19"/>
  <c r="P286" i="19"/>
  <c r="M286" i="19"/>
  <c r="H155" i="36"/>
  <c r="O286" i="19"/>
  <c r="E177" i="36"/>
  <c r="J177" i="36" s="1"/>
  <c r="L192" i="19"/>
  <c r="M192" i="19"/>
  <c r="N192" i="19"/>
  <c r="N188" i="19"/>
  <c r="L188" i="19"/>
  <c r="Q188" i="19"/>
  <c r="G180" i="19"/>
  <c r="H180" i="19"/>
  <c r="F200" i="19"/>
  <c r="H200" i="19"/>
  <c r="H189" i="19"/>
  <c r="F189" i="19"/>
  <c r="H218" i="36"/>
  <c r="H200" i="36"/>
  <c r="D201" i="19"/>
  <c r="L283" i="19"/>
  <c r="N181" i="19"/>
  <c r="L185" i="19"/>
  <c r="L180" i="19"/>
  <c r="D215" i="36"/>
  <c r="H197" i="36"/>
  <c r="H226" i="36"/>
  <c r="H216" i="36"/>
  <c r="E226" i="36"/>
  <c r="J226" i="36" s="1"/>
  <c r="D154" i="36"/>
  <c r="H183" i="19"/>
  <c r="D50" i="20"/>
  <c r="Z31" i="20"/>
  <c r="Z33" i="20" s="1"/>
  <c r="L5" i="19" s="1"/>
  <c r="X48" i="20"/>
  <c r="D57" i="20"/>
  <c r="G183" i="19"/>
  <c r="F183" i="19"/>
  <c r="B7" i="1"/>
  <c r="B8" i="1"/>
  <c r="P278" i="19" l="1"/>
  <c r="Q273" i="19"/>
  <c r="Q275" i="19" s="1"/>
  <c r="E142" i="35" s="1"/>
  <c r="D273" i="19"/>
  <c r="D275" i="19" s="1"/>
  <c r="F137" i="35" s="1"/>
  <c r="O273" i="19"/>
  <c r="O275" i="19" s="1"/>
  <c r="E140" i="35" s="1"/>
  <c r="F273" i="19"/>
  <c r="F275" i="19" s="1"/>
  <c r="F139" i="35" s="1"/>
  <c r="E273" i="19"/>
  <c r="E275" i="19" s="1"/>
  <c r="F138" i="35" s="1"/>
  <c r="P273" i="19"/>
  <c r="P275" i="19" s="1"/>
  <c r="E141" i="35" s="1"/>
  <c r="N273" i="19"/>
  <c r="N275" i="19" s="1"/>
  <c r="E139" i="35" s="1"/>
  <c r="L273" i="19"/>
  <c r="L275" i="19" s="1"/>
  <c r="P375" i="19"/>
  <c r="P377" i="19" s="1"/>
  <c r="D141" i="35" s="1"/>
  <c r="L375" i="19"/>
  <c r="L377" i="19" s="1"/>
  <c r="N375" i="19"/>
  <c r="N377" i="19" s="1"/>
  <c r="D139" i="35" s="1"/>
  <c r="M375" i="19"/>
  <c r="M377" i="19" s="1"/>
  <c r="D138" i="35" s="1"/>
  <c r="H273" i="19"/>
  <c r="H275" i="19" s="1"/>
  <c r="F141" i="35" s="1"/>
  <c r="G273" i="19"/>
  <c r="G275" i="19" s="1"/>
  <c r="F140" i="35" s="1"/>
  <c r="O375" i="19"/>
  <c r="O377" i="19" s="1"/>
  <c r="D140" i="35" s="1"/>
  <c r="M273" i="19"/>
  <c r="M275" i="19" s="1"/>
  <c r="E138" i="35" s="1"/>
  <c r="G24" i="46"/>
  <c r="D24" i="46"/>
  <c r="C22" i="46"/>
  <c r="Q375" i="19"/>
  <c r="Q377" i="19" s="1"/>
  <c r="D142" i="35" s="1"/>
  <c r="I273" i="19"/>
  <c r="I275" i="19" s="1"/>
  <c r="E6" i="20"/>
  <c r="F48" i="20" s="1"/>
  <c r="D22" i="46"/>
  <c r="H6" i="20"/>
  <c r="F51" i="20" s="1"/>
  <c r="G22" i="46"/>
  <c r="G6" i="20"/>
  <c r="F50" i="20" s="1"/>
  <c r="F22" i="46"/>
  <c r="Q7" i="36"/>
  <c r="F24" i="46"/>
  <c r="F8" i="20"/>
  <c r="H49" i="20" s="1"/>
  <c r="E24" i="46"/>
  <c r="P5" i="36"/>
  <c r="E22" i="46"/>
  <c r="O216" i="35"/>
  <c r="O214" i="35"/>
  <c r="O211" i="35"/>
  <c r="O212" i="35"/>
  <c r="O215" i="35"/>
  <c r="O213" i="35"/>
  <c r="O35" i="20"/>
  <c r="D9" i="20" s="1"/>
  <c r="I47" i="20" s="1"/>
  <c r="C24" i="46"/>
  <c r="D278" i="36"/>
  <c r="P73" i="36" s="1"/>
  <c r="H278" i="36"/>
  <c r="P75" i="36" s="1"/>
  <c r="J256" i="36"/>
  <c r="E283" i="36" s="1"/>
  <c r="O29" i="20" s="1"/>
  <c r="E278" i="36"/>
  <c r="P74" i="36" s="1"/>
  <c r="N77" i="36"/>
  <c r="R77" i="36" s="1"/>
  <c r="X56" i="20"/>
  <c r="E141" i="19"/>
  <c r="I141" i="19" s="1"/>
  <c r="P216" i="35"/>
  <c r="N216" i="35"/>
  <c r="AD43" i="20"/>
  <c r="P7" i="19" s="1"/>
  <c r="D6" i="20"/>
  <c r="F47" i="20" s="1"/>
  <c r="B5" i="1"/>
  <c r="B4" i="1"/>
  <c r="B3" i="1"/>
  <c r="B35" i="1" s="1"/>
  <c r="F15" i="20"/>
  <c r="E6" i="35" s="1"/>
  <c r="D378" i="19"/>
  <c r="G15" i="20"/>
  <c r="E7" i="35" s="1"/>
  <c r="G137" i="35"/>
  <c r="O5" i="36"/>
  <c r="F6" i="20"/>
  <c r="F49" i="20" s="1"/>
  <c r="E15" i="20"/>
  <c r="E5" i="35" s="1"/>
  <c r="H15" i="20"/>
  <c r="C8" i="35" s="1"/>
  <c r="AI35" i="20"/>
  <c r="L8" i="19" s="1"/>
  <c r="L7" i="19"/>
  <c r="D17" i="20"/>
  <c r="P4" i="35" s="1"/>
  <c r="D15" i="20"/>
  <c r="C4" i="35" s="1"/>
  <c r="N7" i="19"/>
  <c r="F17" i="20"/>
  <c r="AB49" i="20" s="1"/>
  <c r="AK35" i="20"/>
  <c r="F18" i="20" s="1"/>
  <c r="E17" i="20"/>
  <c r="M7" i="19"/>
  <c r="AJ35" i="20"/>
  <c r="E18" i="20" s="1"/>
  <c r="G17" i="20"/>
  <c r="O7" i="19"/>
  <c r="B8" i="38"/>
  <c r="R35" i="20"/>
  <c r="Q5" i="36"/>
  <c r="R5" i="36"/>
  <c r="G8" i="20"/>
  <c r="H50" i="20" s="1"/>
  <c r="P7" i="36"/>
  <c r="Q35" i="20"/>
  <c r="O7" i="36"/>
  <c r="P35" i="20"/>
  <c r="E8" i="20"/>
  <c r="H48" i="20" s="1"/>
  <c r="H8" i="20"/>
  <c r="H51" i="20" s="1"/>
  <c r="R7" i="36"/>
  <c r="D8" i="20"/>
  <c r="H47" i="20" s="1"/>
  <c r="N7" i="36"/>
  <c r="G18" i="20"/>
  <c r="O8" i="19"/>
  <c r="X57" i="20"/>
  <c r="S35" i="20"/>
  <c r="AN29" i="20" l="1"/>
  <c r="AJ29" i="20"/>
  <c r="AI29" i="20"/>
  <c r="AK29" i="20"/>
  <c r="AM29" i="20"/>
  <c r="AL29" i="20"/>
  <c r="T29" i="20"/>
  <c r="T30" i="20" s="1"/>
  <c r="S29" i="20"/>
  <c r="S30" i="20" s="1"/>
  <c r="R29" i="20"/>
  <c r="Q29" i="20"/>
  <c r="P29" i="20"/>
  <c r="G25" i="46"/>
  <c r="C25" i="46"/>
  <c r="N8" i="36"/>
  <c r="N75" i="36"/>
  <c r="N73" i="36"/>
  <c r="F9" i="20"/>
  <c r="I49" i="20" s="1"/>
  <c r="E25" i="46"/>
  <c r="E9" i="20"/>
  <c r="I48" i="20" s="1"/>
  <c r="D25" i="46"/>
  <c r="G9" i="20"/>
  <c r="I50" i="20" s="1"/>
  <c r="F25" i="46"/>
  <c r="D191" i="35"/>
  <c r="D187" i="35"/>
  <c r="D188" i="35"/>
  <c r="D189" i="35"/>
  <c r="D192" i="35"/>
  <c r="D190" i="35"/>
  <c r="D211" i="35"/>
  <c r="D215" i="35"/>
  <c r="D214" i="35"/>
  <c r="D212" i="35"/>
  <c r="D216" i="35"/>
  <c r="D213" i="35"/>
  <c r="O187" i="35"/>
  <c r="O190" i="35"/>
  <c r="O189" i="35"/>
  <c r="O191" i="35"/>
  <c r="O192" i="35"/>
  <c r="O188" i="35"/>
  <c r="C187" i="35"/>
  <c r="F142" i="35"/>
  <c r="D276" i="19"/>
  <c r="AM35" i="20"/>
  <c r="P8" i="19" s="1"/>
  <c r="H17" i="20"/>
  <c r="P8" i="35" s="1"/>
  <c r="O117" i="35"/>
  <c r="P119" i="35"/>
  <c r="N119" i="35"/>
  <c r="O119" i="35"/>
  <c r="E216" i="35"/>
  <c r="C216" i="35"/>
  <c r="C191" i="35"/>
  <c r="E192" i="35"/>
  <c r="C192" i="35"/>
  <c r="B13" i="1"/>
  <c r="B25" i="1"/>
  <c r="C25" i="1" s="1"/>
  <c r="B37" i="1"/>
  <c r="B31" i="1" s="1"/>
  <c r="B7" i="38"/>
  <c r="Z49" i="20"/>
  <c r="Z48" i="20"/>
  <c r="C6" i="35"/>
  <c r="Z50" i="20"/>
  <c r="C7" i="35"/>
  <c r="Z51" i="20"/>
  <c r="C5" i="35"/>
  <c r="E8" i="35"/>
  <c r="D18" i="20"/>
  <c r="N22" i="35" s="1"/>
  <c r="P6" i="35"/>
  <c r="E4" i="35"/>
  <c r="N4" i="35"/>
  <c r="N8" i="19"/>
  <c r="AB47" i="20"/>
  <c r="N6" i="35"/>
  <c r="Z47" i="20"/>
  <c r="M8" i="19"/>
  <c r="B5" i="38"/>
  <c r="B4" i="38"/>
  <c r="AB50" i="20"/>
  <c r="P7" i="35"/>
  <c r="N7" i="35"/>
  <c r="AB48" i="20"/>
  <c r="P5" i="35"/>
  <c r="N5" i="35"/>
  <c r="Q8" i="36"/>
  <c r="E188" i="35"/>
  <c r="O8" i="36"/>
  <c r="C214" i="35"/>
  <c r="E212" i="35"/>
  <c r="E213" i="35"/>
  <c r="C213" i="35"/>
  <c r="E214" i="35"/>
  <c r="C188" i="35"/>
  <c r="C189" i="35"/>
  <c r="P116" i="35"/>
  <c r="E189" i="35"/>
  <c r="E190" i="35"/>
  <c r="C212" i="35"/>
  <c r="E191" i="35"/>
  <c r="C190" i="35"/>
  <c r="E187" i="35"/>
  <c r="N117" i="35"/>
  <c r="P117" i="35"/>
  <c r="N115" i="35"/>
  <c r="C211" i="35"/>
  <c r="O116" i="35"/>
  <c r="N116" i="35"/>
  <c r="P8" i="36"/>
  <c r="C215" i="35"/>
  <c r="E215" i="35"/>
  <c r="P211" i="35"/>
  <c r="N211" i="35"/>
  <c r="O118" i="35"/>
  <c r="P115" i="35"/>
  <c r="O115" i="35"/>
  <c r="O114" i="35"/>
  <c r="G140" i="19"/>
  <c r="H9" i="20"/>
  <c r="R8" i="36"/>
  <c r="AC50" i="20"/>
  <c r="N25" i="35"/>
  <c r="P25" i="35"/>
  <c r="E137" i="35"/>
  <c r="L276" i="19"/>
  <c r="D137" i="35"/>
  <c r="L378" i="19"/>
  <c r="E211" i="35"/>
  <c r="AC48" i="20"/>
  <c r="N23" i="35"/>
  <c r="P23" i="35"/>
  <c r="AC49" i="20"/>
  <c r="N24" i="35"/>
  <c r="P24" i="35"/>
  <c r="E137" i="19" l="1"/>
  <c r="K47" i="20"/>
  <c r="O30" i="20"/>
  <c r="P212" i="35"/>
  <c r="N214" i="35"/>
  <c r="P214" i="35"/>
  <c r="T31" i="20"/>
  <c r="B3" i="38"/>
  <c r="B13" i="38" s="1"/>
  <c r="N213" i="35"/>
  <c r="P213" i="35"/>
  <c r="N212" i="35"/>
  <c r="G23" i="46"/>
  <c r="S31" i="20"/>
  <c r="AN30" i="20"/>
  <c r="G138" i="19"/>
  <c r="K52" i="20"/>
  <c r="O88" i="35"/>
  <c r="O89" i="35"/>
  <c r="O90" i="35"/>
  <c r="O91" i="35"/>
  <c r="O92" i="35"/>
  <c r="O87" i="35"/>
  <c r="R30" i="20"/>
  <c r="Q30" i="20"/>
  <c r="P30" i="20"/>
  <c r="N8" i="35"/>
  <c r="AB51" i="20"/>
  <c r="E139" i="19" s="1"/>
  <c r="H18" i="20"/>
  <c r="P118" i="35" s="1"/>
  <c r="C119" i="35"/>
  <c r="E119" i="35"/>
  <c r="D119" i="35"/>
  <c r="C88" i="35"/>
  <c r="E92" i="35"/>
  <c r="C92" i="35"/>
  <c r="D92" i="35"/>
  <c r="R73" i="36"/>
  <c r="B30" i="1"/>
  <c r="B34" i="1" s="1"/>
  <c r="N114" i="35"/>
  <c r="AC47" i="20"/>
  <c r="R75" i="36"/>
  <c r="P22" i="35"/>
  <c r="P114" i="35"/>
  <c r="E90" i="35"/>
  <c r="C87" i="35"/>
  <c r="G137" i="19"/>
  <c r="E87" i="35"/>
  <c r="E89" i="35"/>
  <c r="D91" i="35"/>
  <c r="D89" i="35"/>
  <c r="C91" i="35"/>
  <c r="C89" i="35"/>
  <c r="D87" i="35"/>
  <c r="D88" i="35"/>
  <c r="C90" i="35"/>
  <c r="E88" i="35"/>
  <c r="E91" i="35"/>
  <c r="D90" i="35"/>
  <c r="E116" i="35"/>
  <c r="C117" i="35"/>
  <c r="D115" i="35"/>
  <c r="D117" i="35"/>
  <c r="D118" i="35"/>
  <c r="C115" i="35"/>
  <c r="C114" i="35"/>
  <c r="E114" i="35"/>
  <c r="C118" i="35"/>
  <c r="E117" i="35"/>
  <c r="E118" i="35"/>
  <c r="G139" i="19"/>
  <c r="D116" i="35"/>
  <c r="D114" i="35"/>
  <c r="E115" i="35"/>
  <c r="C116" i="35"/>
  <c r="I51" i="20"/>
  <c r="P215" i="35"/>
  <c r="N215" i="35"/>
  <c r="B35" i="38" l="1"/>
  <c r="N187" i="35"/>
  <c r="P187" i="35" s="1"/>
  <c r="D7" i="20"/>
  <c r="B25" i="38"/>
  <c r="C25" i="38" s="1"/>
  <c r="B37" i="38"/>
  <c r="B31" i="38" s="1"/>
  <c r="B30" i="38" s="1"/>
  <c r="I16" i="20" a="1"/>
  <c r="I16" i="20" s="1"/>
  <c r="AA52" i="20" s="1"/>
  <c r="AN31" i="20"/>
  <c r="O31" i="20"/>
  <c r="C23" i="46"/>
  <c r="D23" i="46"/>
  <c r="P31" i="20"/>
  <c r="E23" i="46"/>
  <c r="Q31" i="20"/>
  <c r="F23" i="46"/>
  <c r="R31" i="20"/>
  <c r="N76" i="36"/>
  <c r="R76" i="36" s="1"/>
  <c r="AE52" i="20"/>
  <c r="Q6" i="19" a="1"/>
  <c r="Q6" i="19" s="1"/>
  <c r="AE51" i="20"/>
  <c r="AM30" i="20"/>
  <c r="AM31" i="20" s="1"/>
  <c r="AE50" i="20"/>
  <c r="AL30" i="20"/>
  <c r="AL31" i="20" s="1"/>
  <c r="AE48" i="20"/>
  <c r="AJ30" i="20"/>
  <c r="AJ31" i="20" s="1"/>
  <c r="AE49" i="20"/>
  <c r="AK30" i="20"/>
  <c r="AK31" i="20" s="1"/>
  <c r="AE47" i="20"/>
  <c r="AI30" i="20"/>
  <c r="AI31" i="20" s="1"/>
  <c r="N191" i="35"/>
  <c r="P191" i="35" s="1"/>
  <c r="K51" i="20"/>
  <c r="N188" i="35"/>
  <c r="P188" i="35" s="1"/>
  <c r="K48" i="20"/>
  <c r="N189" i="35"/>
  <c r="P189" i="35" s="1"/>
  <c r="K49" i="20"/>
  <c r="N190" i="35"/>
  <c r="P190" i="35" s="1"/>
  <c r="K50" i="20"/>
  <c r="R74" i="36" s="1"/>
  <c r="H23" i="46"/>
  <c r="N192" i="35"/>
  <c r="P192" i="35" s="1"/>
  <c r="S6" i="36" a="1"/>
  <c r="S6" i="36" s="1"/>
  <c r="I7" i="20"/>
  <c r="G52" i="20" s="1" a="1"/>
  <c r="G52" i="20" s="1"/>
  <c r="E7" i="20"/>
  <c r="O6" i="36"/>
  <c r="P6" i="36"/>
  <c r="N6" i="36"/>
  <c r="N26" i="35"/>
  <c r="AC51" i="20"/>
  <c r="E140" i="19" s="1"/>
  <c r="I140" i="19" s="1"/>
  <c r="G143" i="35" s="1"/>
  <c r="P26" i="35"/>
  <c r="N118" i="35"/>
  <c r="B38" i="1"/>
  <c r="B27" i="1" s="1"/>
  <c r="B22" i="1" s="1"/>
  <c r="C22" i="1" s="1"/>
  <c r="I137" i="19"/>
  <c r="F143" i="35" s="1"/>
  <c r="I139" i="19"/>
  <c r="D143" i="35" s="1"/>
  <c r="N92" i="35" l="1"/>
  <c r="P92" i="35" s="1"/>
  <c r="N6" i="19"/>
  <c r="F16" i="20"/>
  <c r="M6" i="19"/>
  <c r="E16" i="20"/>
  <c r="O6" i="19"/>
  <c r="G16" i="20"/>
  <c r="L6" i="19"/>
  <c r="D16" i="20"/>
  <c r="H16" i="20"/>
  <c r="P6" i="19"/>
  <c r="H7" i="20"/>
  <c r="G51" i="20" s="1"/>
  <c r="Q6" i="36"/>
  <c r="R6" i="36"/>
  <c r="G7" i="20"/>
  <c r="G50" i="20" s="1"/>
  <c r="F7" i="20"/>
  <c r="G49" i="20" s="1"/>
  <c r="G47" i="20"/>
  <c r="G48" i="20"/>
  <c r="C27" i="1"/>
  <c r="B23" i="1"/>
  <c r="C23" i="1" s="1"/>
  <c r="B26" i="1"/>
  <c r="B36" i="1" s="1"/>
  <c r="B19" i="1"/>
  <c r="B29" i="1" s="1"/>
  <c r="B38" i="38"/>
  <c r="B27" i="38" s="1"/>
  <c r="B34" i="38"/>
  <c r="N74" i="36" l="1"/>
  <c r="E21" i="35"/>
  <c r="N87" i="35"/>
  <c r="P87" i="35" s="1"/>
  <c r="C21" i="35"/>
  <c r="AA47" i="20"/>
  <c r="C24" i="35"/>
  <c r="N90" i="35"/>
  <c r="P90" i="35" s="1"/>
  <c r="E24" i="35"/>
  <c r="AA50" i="20"/>
  <c r="AA48" i="20"/>
  <c r="C22" i="35"/>
  <c r="N88" i="35"/>
  <c r="P88" i="35" s="1"/>
  <c r="E22" i="35"/>
  <c r="E23" i="35"/>
  <c r="N89" i="35"/>
  <c r="P89" i="35" s="1"/>
  <c r="C23" i="35"/>
  <c r="AA49" i="20"/>
  <c r="AA51" i="20"/>
  <c r="C25" i="35"/>
  <c r="N91" i="35"/>
  <c r="P91" i="35" s="1"/>
  <c r="E25" i="35"/>
  <c r="C19" i="1"/>
  <c r="C26" i="1"/>
  <c r="B20" i="1"/>
  <c r="C20" i="1" s="1"/>
  <c r="B23" i="38"/>
  <c r="C23" i="38" s="1"/>
  <c r="B19" i="38"/>
  <c r="C27" i="38"/>
  <c r="B22" i="38"/>
  <c r="C22" i="38" s="1"/>
  <c r="B26" i="38"/>
  <c r="E138" i="19" l="1"/>
  <c r="I138" i="19" s="1"/>
  <c r="E143" i="35" s="1"/>
  <c r="B21" i="1"/>
  <c r="C21" i="1" s="1"/>
  <c r="C19" i="38"/>
  <c r="B20" i="38"/>
  <c r="C20" i="38" s="1"/>
  <c r="B29" i="38"/>
  <c r="B36" i="38"/>
  <c r="C26" i="38"/>
  <c r="B21" i="38" l="1"/>
  <c r="C21" i="3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Table1" type="102" refreshedVersion="6" minRefreshableVersion="5">
    <extLst>
      <ext xmlns:x15="http://schemas.microsoft.com/office/spreadsheetml/2010/11/main" uri="{DE250136-89BD-433C-8126-D09CA5730AF9}">
        <x15:connection id="Table1" autoDelete="1" usedByAddin="1">
          <x15:rangePr sourceName="_xlcn.WorksheetConnection_Table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<sst xmlns="http://schemas.openxmlformats.org/spreadsheetml/2006/main" count="2438" uniqueCount="750">
  <si>
    <t>Instructions for Azure Stack Hub Capacity Planner</t>
  </si>
  <si>
    <t>Sheet Name</t>
  </si>
  <si>
    <t>DefinedSolutionSKUs</t>
  </si>
  <si>
    <r>
      <t>Contains up to</t>
    </r>
    <r>
      <rPr>
        <sz val="12"/>
        <color rgb="FFFF0000"/>
        <rFont val="Calibri"/>
        <family val="2"/>
        <scheme val="minor"/>
      </rPr>
      <t xml:space="preserve"> 6</t>
    </r>
    <r>
      <rPr>
        <sz val="12"/>
        <color theme="1"/>
        <rFont val="Calibri"/>
        <family val="2"/>
        <scheme val="minor"/>
      </rPr>
      <t xml:space="preserve"> hardware definitions.  The entries in this sheet are examples.  The intent is that the user will change details to match system configurations being considered for use or purchase.</t>
    </r>
  </si>
  <si>
    <t>Hardware selections provided by Authorized Hardware Partners</t>
  </si>
  <si>
    <t>Multiple Ways to Model Computing Resources</t>
  </si>
  <si>
    <t>1.</t>
  </si>
  <si>
    <t xml:space="preserve">The user selects a specific hardware offering and sees which combinations of various resources fit within this hardware resource. </t>
  </si>
  <si>
    <t>2.</t>
  </si>
  <si>
    <t>The user creates a specific combination of VM allocations and then lets the Azure Resource Calculator shows which available hardware SKUs are capable of supporting this VM configuration.</t>
  </si>
  <si>
    <t>This tool provides 2 methods for allocating VM resources - either as one single collection of VM resource allocations or as a collection of up to 6 differing Workload configurations. Each Workload configuration can contain a different allocation of available VM resources. Detailed information for creating and using each of these allocation models is provided below.  Only values contained in non-background shaded cells, or within SKU pull down lists  should be modified. Changes made within shaded cells may break resource calculations.</t>
  </si>
  <si>
    <t>Purpose</t>
  </si>
  <si>
    <t>DefineByVMFootprint</t>
  </si>
  <si>
    <t>Create collection of Azure Stack Hub VMs to find appropriate hardware SKU.</t>
  </si>
  <si>
    <t>Model a single collection of VMs</t>
  </si>
  <si>
    <t>To create a model using a single collection of various sizes and quantities of VMs, select the "DefineByVMFootprint" Tab and follow this sequence of steps.</t>
  </si>
  <si>
    <t>In the upper right corner of this page, use the provided pull down list box controls to select an initial number of servers (between 4-16) you want installed in each hardware system (SKU). This number of servers may be modified at any time during the modeling process to see how this affects overall available resources for your resouce allocation model.</t>
  </si>
  <si>
    <t>If you want to model various VM resource allocations against one specific hardware configuration, find the blue pull down list box directly below the "Current SKU" label in the upper right hand corner of the page. Pull down this list box and select your desired hardware SKU.</t>
  </si>
  <si>
    <t>3.</t>
  </si>
  <si>
    <t xml:space="preserve">You are now ready to begin adding various sized VMs to your model. To include a particular VM type, enter a quantity value into the blue outlined box to the left of that VM entry. </t>
  </si>
  <si>
    <t>NOTE- Total VM Storage refers to the total capacity of the data disk of the VM (number of supported disks*the maximum capacity of a single disk (1 TB)). Based on the configuration indicators we have populated the Available Storage Configurations table, so that you may choose your desired level of storage resource for each Azure Stack Hub VM. However, it is important to note that you may add or change the Available Storage Configurations table as as necessary</t>
  </si>
  <si>
    <t xml:space="preserve">NOTE - Each VM starts with an initially assigned local temp storage. To reflect the thin provisioning of temp storage the local-temp number can be changed to anything in the drop down menu including the maximum allowable temp storage amount. </t>
  </si>
  <si>
    <t>4.</t>
  </si>
  <si>
    <t>As you add VMs, you will see the charts that show available SKU resources changing. This allows you to see the effects of adding various sizes and quantities of VMs during the modeling process. Another way to view the effect of changes is to watch the Consumed and Still Available numbers listed directly below the list of available VMs. These numbers reflect estimated values based on the currently selected hardware SKU.</t>
  </si>
  <si>
    <t>If GPU VMs were selected in the DefinedSolutionSKUs tab then the selected GPU type will be available to enter quantity. Please note: ONLY GPU type selected in the DefinedSolutionSKUs tab will be available for capacity planning, any other GPU choices made will be ignored.</t>
  </si>
  <si>
    <t xml:space="preserve">Once you have created your set of VMs, you can pull down the list below to manually select a SKU and take a look available capacity for your desired configuration.  </t>
  </si>
  <si>
    <t xml:space="preserve">DefineByWorkloadFootprint </t>
  </si>
  <si>
    <t>Create collection of Azure Stack Hub Workloads to find appropriate hardware SKU.</t>
  </si>
  <si>
    <t>Model a collection of Azure Stack Hub Workloads</t>
  </si>
  <si>
    <t>To create a model using a collection of Azure Stack Hub Workloads, select the "DefineByWorkloadFootprint" Tab and follow this sequence of steps. Azure Stack Hub Workloads are created using available VM resources. (To change the provided storage size for an Azure Stack Hub VM, see the NOTE from step 3 above.)</t>
  </si>
  <si>
    <t>In the upper right corner of this page, use the provided pull down list box controls to select an initial number of servers (between 4-16) you want installed in each hardware system (SKU).</t>
  </si>
  <si>
    <t>Select the appropriate storage size for each of your desired Azure Stack Hub VMs on the DefineByVMFootprint page as described above in step 3 of DefineByVMFootprint. Note that the storage size per VM is defined in the DefineByVMFootprint sheet.</t>
  </si>
  <si>
    <t>Starting on the upper left of the DefineByWorkloadFootprint page, create configurations for up to 6 different Workload types by enterng the quantity of each VM type contained within that Workload. For workloads 1-5, choose from the dropdown menu for available workloads. Then select workload size. Additionally, refer to the workload quanitity cell to change the number of the specific workload. For workload 6 you are able to define your own workload. This is done by placing numeric values into the column directly below that workload's name. The name of workload 6 can be modified to reflect the type of workload that will be supported by this particular configuration.</t>
  </si>
  <si>
    <t>5.</t>
  </si>
  <si>
    <t>If you want to add GPU workloads here, add them to the Custom Workloads. Please note: ONLY GPU type selected in the DefinedSolutionSKUs tab will be available for capacity planning, any other GPU choices entered will be ignored.</t>
  </si>
  <si>
    <t xml:space="preserve">Once Workload types and quantities have been created, use the drop down menu to select a SKU and scroll down to see a table of the total, used and available capacity based on the selected SKU. </t>
  </si>
  <si>
    <t>Further modeling may be accomplished by modifying the number of servers selected for a hardware SKU, or changing the VM allocations or quantities within your Workload configurations. The associated graphs will display immediate feedback showing how your changes affect the overall resource consumption.</t>
  </si>
  <si>
    <t>Once you are satisfied with your changes, pull down the list below current SKU to take a look at available capacity for your desired configuration.</t>
  </si>
  <si>
    <t>Component</t>
  </si>
  <si>
    <t>Example 1</t>
  </si>
  <si>
    <t>Example 2</t>
  </si>
  <si>
    <t>Example 3</t>
  </si>
  <si>
    <t>Example 4</t>
  </si>
  <si>
    <t>Example 5</t>
  </si>
  <si>
    <t>Example 6</t>
  </si>
  <si>
    <t>* This Page contains up to 6 Hardware SKUs</t>
  </si>
  <si>
    <t>Server Chassis Name</t>
  </si>
  <si>
    <t>Chassis 1</t>
  </si>
  <si>
    <t>Chassis 2</t>
  </si>
  <si>
    <t>Chassis 3</t>
  </si>
  <si>
    <t>Chassis 4</t>
  </si>
  <si>
    <t>Chassis 5</t>
  </si>
  <si>
    <t>Chassis 6</t>
  </si>
  <si>
    <t xml:space="preserve">   provided by an Authorized Hardware Vendor</t>
  </si>
  <si>
    <t>Server Chassis Notes</t>
  </si>
  <si>
    <t>12 LFF + 6 SFF</t>
  </si>
  <si>
    <t>12 LFF + 2 SFF</t>
  </si>
  <si>
    <t>10 LFF + 2 SFF</t>
  </si>
  <si>
    <t>Unknown</t>
  </si>
  <si>
    <t>12LFF</t>
  </si>
  <si>
    <t xml:space="preserve">   with increasing capacities from SKU1 to SKU6</t>
  </si>
  <si>
    <t>FormFactor</t>
  </si>
  <si>
    <t>2U</t>
  </si>
  <si>
    <t>Power Supply</t>
  </si>
  <si>
    <t>450W</t>
  </si>
  <si>
    <t>460W</t>
  </si>
  <si>
    <t>Power Supply Count</t>
  </si>
  <si>
    <t>CPU SKU</t>
  </si>
  <si>
    <t xml:space="preserve"> 8168 Xeon-P</t>
  </si>
  <si>
    <t>E5-2680V4</t>
  </si>
  <si>
    <t>E5-2690V4</t>
  </si>
  <si>
    <t>E5-2695V4</t>
  </si>
  <si>
    <t>E5-2699V4</t>
  </si>
  <si>
    <t>CPU Core Count</t>
  </si>
  <si>
    <t>CPU Count</t>
  </si>
  <si>
    <t>Memory (GB)</t>
  </si>
  <si>
    <t>S2D Cache SKU/ Type</t>
  </si>
  <si>
    <t xml:space="preserve">   N/A</t>
  </si>
  <si>
    <t>NVMe SSD</t>
  </si>
  <si>
    <t>SAS SSD</t>
  </si>
  <si>
    <t>SATA SSD</t>
  </si>
  <si>
    <t>S2D Cache Count</t>
  </si>
  <si>
    <t>S2D Cache Capacity (GB)</t>
  </si>
  <si>
    <t>S2D Capacity SKU/Type</t>
  </si>
  <si>
    <t>SATA HDD</t>
  </si>
  <si>
    <t>S2D Capacity Count</t>
  </si>
  <si>
    <t>S2D Capacity Capacity (GB)</t>
  </si>
  <si>
    <t>GPU Type</t>
  </si>
  <si>
    <t>N/A</t>
  </si>
  <si>
    <t>GPU Number</t>
  </si>
  <si>
    <t>GPU Partition Number</t>
  </si>
  <si>
    <t>Trusted Platform Module</t>
  </si>
  <si>
    <t>TPM2.0</t>
  </si>
  <si>
    <t>BootDriveController</t>
  </si>
  <si>
    <t>Model 100</t>
  </si>
  <si>
    <t>Model 200</t>
  </si>
  <si>
    <t>unknown</t>
  </si>
  <si>
    <t>Model 300</t>
  </si>
  <si>
    <t>DataDriveController One</t>
  </si>
  <si>
    <t>HBA 1000</t>
  </si>
  <si>
    <t>HBA 2000</t>
  </si>
  <si>
    <t>HBA 3000</t>
  </si>
  <si>
    <t>HBA 4000</t>
  </si>
  <si>
    <t>HBA 5000</t>
  </si>
  <si>
    <t>DataDriveController Two</t>
  </si>
  <si>
    <t>BootDrive SKU</t>
  </si>
  <si>
    <t>RI 1010</t>
  </si>
  <si>
    <t>BootDrive Count</t>
  </si>
  <si>
    <t>BootDrive Capacity (GB)</t>
  </si>
  <si>
    <t>BootDrive Configuration</t>
  </si>
  <si>
    <t>Non-mirrored</t>
  </si>
  <si>
    <t>NIC SKU</t>
  </si>
  <si>
    <t>RDMA Mark IV</t>
  </si>
  <si>
    <t>NIC Ports</t>
  </si>
  <si>
    <t>NIC Port Bandwidth</t>
  </si>
  <si>
    <t>10Gb</t>
  </si>
  <si>
    <t>Switch BMC</t>
  </si>
  <si>
    <t>Model 1G</t>
  </si>
  <si>
    <t>Model 2G</t>
  </si>
  <si>
    <t>Model 3G</t>
  </si>
  <si>
    <t>Model 4G</t>
  </si>
  <si>
    <t>Model 5G</t>
  </si>
  <si>
    <t>Switch ToR</t>
  </si>
  <si>
    <t>ToR M10</t>
  </si>
  <si>
    <t>ToR M11</t>
  </si>
  <si>
    <t>ToR M12</t>
  </si>
  <si>
    <t>ToR M13</t>
  </si>
  <si>
    <t>ToR M14</t>
  </si>
  <si>
    <t>Scale Unit Server Sizes</t>
  </si>
  <si>
    <t>4 to 16</t>
  </si>
  <si>
    <t>*  Solution Partner Values</t>
  </si>
  <si>
    <t xml:space="preserve">   Required for Calculations</t>
  </si>
  <si>
    <t>SKU 1</t>
  </si>
  <si>
    <t>SKU 2</t>
  </si>
  <si>
    <t>SKU 3</t>
  </si>
  <si>
    <t>SKU 4</t>
  </si>
  <si>
    <t>SKU 5</t>
  </si>
  <si>
    <t>SKU 6</t>
  </si>
  <si>
    <t>Name</t>
  </si>
  <si>
    <t>Pull down list below
to manually select a SKU</t>
  </si>
  <si>
    <t>Select # of Servers</t>
  </si>
  <si>
    <t>Select / Configure Desired Azure Stack Hub VMs</t>
  </si>
  <si>
    <t>Physical CPU Cores</t>
  </si>
  <si>
    <t>Quantity</t>
  </si>
  <si>
    <t>VM Size</t>
  </si>
  <si>
    <t>vCPU cores</t>
  </si>
  <si>
    <t>Memory</t>
  </si>
  <si>
    <t>GPUs</t>
  </si>
  <si>
    <t>GPU Memory</t>
  </si>
  <si>
    <t>Local-Temp (GiB)</t>
  </si>
  <si>
    <t>Total VM Storage (GiB)</t>
  </si>
  <si>
    <t>General Purpose VMs</t>
  </si>
  <si>
    <t>Memory (GiB)</t>
  </si>
  <si>
    <t>Basic A</t>
  </si>
  <si>
    <t>Temp Disk Storage (TiB)</t>
  </si>
  <si>
    <t>Basic_A0</t>
  </si>
  <si>
    <t>n/a</t>
  </si>
  <si>
    <t>Balanced CPU-to-memory ratio.</t>
  </si>
  <si>
    <t>Storage (TiB)</t>
  </si>
  <si>
    <t>Basic_A1</t>
  </si>
  <si>
    <t xml:space="preserve">Ideal for testing and development, </t>
  </si>
  <si>
    <t>Number of GPUs</t>
  </si>
  <si>
    <t>Basic_A2</t>
  </si>
  <si>
    <t xml:space="preserve">small to medium databases, </t>
  </si>
  <si>
    <t>Basic_A3</t>
  </si>
  <si>
    <t>and low to medium traffic web servers.</t>
  </si>
  <si>
    <t xml:space="preserve">** The above numbers take into account capacity used for Azure Stack Hub infrastructure and capacity use for resiliency reserve </t>
  </si>
  <si>
    <t>Basic_A4</t>
  </si>
  <si>
    <t>Standard A</t>
  </si>
  <si>
    <t>Standard_A0</t>
  </si>
  <si>
    <t>Standard_A1</t>
  </si>
  <si>
    <t>Standard_A2</t>
  </si>
  <si>
    <t>Standard_A3</t>
  </si>
  <si>
    <t>Standard_A4</t>
  </si>
  <si>
    <t>Available Storage Configurations</t>
  </si>
  <si>
    <t>Standard_A5</t>
  </si>
  <si>
    <t>Unused Disk Storage Space</t>
  </si>
  <si>
    <t>Standard_A6</t>
  </si>
  <si>
    <t>100 GB Disk Storage Space</t>
  </si>
  <si>
    <t>Standard_A7</t>
  </si>
  <si>
    <t>120 GB Disk Storage Space</t>
  </si>
  <si>
    <t>Av2-series</t>
  </si>
  <si>
    <t>160 GB Disk Storage Space</t>
  </si>
  <si>
    <t>Standard_A1_v2  </t>
  </si>
  <si>
    <t>320 GB Disk Storage Space</t>
  </si>
  <si>
    <t>Standard_A2_v2  </t>
  </si>
  <si>
    <t>512 GB Disk Storage Space</t>
  </si>
  <si>
    <t>Standard_A4_v2  </t>
  </si>
  <si>
    <t>1 TB Disk Storage Space</t>
  </si>
  <si>
    <t>Standard_A8_v2  </t>
  </si>
  <si>
    <t>2 TB Disk Storage Space</t>
  </si>
  <si>
    <t>Standard_A2m_v2  </t>
  </si>
  <si>
    <t>5 TB Disk Storage Space</t>
  </si>
  <si>
    <t>Standard_A4m_v2  </t>
  </si>
  <si>
    <t>8 TB Disk Storage Space</t>
  </si>
  <si>
    <t>Standard_A8m_v2  </t>
  </si>
  <si>
    <t>16 TB Disk Storage Space</t>
  </si>
  <si>
    <t>D-series</t>
  </si>
  <si>
    <t>32 TB Disk Storage Space</t>
  </si>
  <si>
    <t>Standard_D1</t>
  </si>
  <si>
    <t>64 TB Disk Storage Space</t>
  </si>
  <si>
    <t>Standard_D2</t>
  </si>
  <si>
    <t>Standard_D3</t>
  </si>
  <si>
    <t>* Edit and rename any of the above</t>
  </si>
  <si>
    <t>Standard_D4</t>
  </si>
  <si>
    <t xml:space="preserve">   10 cells to change your</t>
  </si>
  <si>
    <t>DS-series</t>
  </si>
  <si>
    <t xml:space="preserve">    provided disk selection values.</t>
  </si>
  <si>
    <t>Standard_DS1</t>
  </si>
  <si>
    <t>Standard_DS2</t>
  </si>
  <si>
    <t>Standard_DS3</t>
  </si>
  <si>
    <t>Standard_DS4</t>
  </si>
  <si>
    <t>Dv2-series</t>
  </si>
  <si>
    <t>Standard_D1_v2</t>
  </si>
  <si>
    <t>Standard_D2_v2</t>
  </si>
  <si>
    <t>Standard_D3_v2</t>
  </si>
  <si>
    <t>Standard_D4_v2</t>
  </si>
  <si>
    <t>Standard_D5_v2</t>
  </si>
  <si>
    <t>DSv2-series</t>
  </si>
  <si>
    <t>Standard_DS1_v2</t>
  </si>
  <si>
    <t>Standard_DS2_v2</t>
  </si>
  <si>
    <t>Standard_DS3_v2</t>
  </si>
  <si>
    <t>Standard_DS4_v2</t>
  </si>
  <si>
    <t>Standard_DS5_v2</t>
  </si>
  <si>
    <t>Standard_DS11-1_v2</t>
  </si>
  <si>
    <t>Standard_DS12-1_v2</t>
  </si>
  <si>
    <t>Standard_DS12-2_v2</t>
  </si>
  <si>
    <t>Standard_DS13-4_v2</t>
  </si>
  <si>
    <t>Standard_DS13-2_v2</t>
  </si>
  <si>
    <t>Standard_DS14-8_v2</t>
  </si>
  <si>
    <t>Standard_DS14-4_v2</t>
  </si>
  <si>
    <t>Dv3-series</t>
  </si>
  <si>
    <t>Standard_D2_V3</t>
  </si>
  <si>
    <t>Standard_D4_V3</t>
  </si>
  <si>
    <t>Standard_D8_V3</t>
  </si>
  <si>
    <t>Standard_D16_V3</t>
  </si>
  <si>
    <t>Standard_D32_V3</t>
  </si>
  <si>
    <t>Memory Optimized VMs</t>
  </si>
  <si>
    <t>Standard_D11</t>
  </si>
  <si>
    <t>High memory-to-CPU ratio.</t>
  </si>
  <si>
    <t>Standard_D12</t>
  </si>
  <si>
    <t>Great for relational database servers,</t>
  </si>
  <si>
    <t>Standard_D13</t>
  </si>
  <si>
    <t>medium to large caches,</t>
  </si>
  <si>
    <t>Standard_D14</t>
  </si>
  <si>
    <t>and in-memory analytics.</t>
  </si>
  <si>
    <t>*Temp Storage &amp; storage are overprovisioned</t>
  </si>
  <si>
    <t>Standard_DS11</t>
  </si>
  <si>
    <t>Total</t>
  </si>
  <si>
    <t>Consumed</t>
  </si>
  <si>
    <t>Still Available</t>
  </si>
  <si>
    <t>Standard_DS12</t>
  </si>
  <si>
    <t>CPU cores</t>
  </si>
  <si>
    <t>Standard_DS13</t>
  </si>
  <si>
    <t>GB</t>
  </si>
  <si>
    <t>Standard_DS14</t>
  </si>
  <si>
    <t>Temp Storage</t>
  </si>
  <si>
    <t>TB</t>
  </si>
  <si>
    <t>Storage</t>
  </si>
  <si>
    <t>Standard_D11_v2</t>
  </si>
  <si>
    <t>Standard_D12_v2</t>
  </si>
  <si>
    <t>Standard_D13_v2</t>
  </si>
  <si>
    <t>Standard_D14_v2</t>
  </si>
  <si>
    <t>Standard_DS11_v2</t>
  </si>
  <si>
    <t>Standard_DS12_v2</t>
  </si>
  <si>
    <t>Standard_DS13_v2</t>
  </si>
  <si>
    <t>Standard_DS14_v2</t>
  </si>
  <si>
    <t>Ev3-Series</t>
  </si>
  <si>
    <t>Standard_E2_v3</t>
  </si>
  <si>
    <t>Standard_E4_v3</t>
  </si>
  <si>
    <t>Standard_E8_v3</t>
  </si>
  <si>
    <t>Standard_E16_v3</t>
  </si>
  <si>
    <t>Standard_E20_v3</t>
  </si>
  <si>
    <t>Compute Optimized VMs</t>
  </si>
  <si>
    <t>F-series</t>
  </si>
  <si>
    <t>Standard_F1 </t>
  </si>
  <si>
    <t>Standard_F2 </t>
  </si>
  <si>
    <t>Standard_F4 </t>
  </si>
  <si>
    <t>Standard_F8 </t>
  </si>
  <si>
    <t>Standard_F16 </t>
  </si>
  <si>
    <t>Fs-series</t>
  </si>
  <si>
    <t>Standard_F1s </t>
  </si>
  <si>
    <t>Standard_F2s </t>
  </si>
  <si>
    <t>Standard_F4s </t>
  </si>
  <si>
    <t>Standard_F8s </t>
  </si>
  <si>
    <t>Standard_F16s </t>
  </si>
  <si>
    <t>Fsv2-series</t>
  </si>
  <si>
    <t>Standard_F2s_v2 </t>
  </si>
  <si>
    <t>Standard_F4s_v2 </t>
  </si>
  <si>
    <t>Standard_F8s_v2 </t>
  </si>
  <si>
    <t>Standard_F16s_v2 </t>
  </si>
  <si>
    <t>Standard_F32s_v2 </t>
  </si>
  <si>
    <t>Standard_F64s_v2 </t>
  </si>
  <si>
    <t>NCv3-Series</t>
  </si>
  <si>
    <t>GPU VMs</t>
  </si>
  <si>
    <t>Standard_NC6s_v3</t>
  </si>
  <si>
    <t>Cannot be combined with AMD Mi25 VMs in rows C121 to C124 below</t>
  </si>
  <si>
    <t>Standard_NC12s_v3</t>
  </si>
  <si>
    <t>Standard_NC24s_v3</t>
  </si>
  <si>
    <t>NCasT4_v3-Series</t>
  </si>
  <si>
    <t>Standard_NC4as_T4_v3</t>
  </si>
  <si>
    <t>Standard_NC8as_T4_v3</t>
  </si>
  <si>
    <t>Standard_NC16as_T4_v3</t>
  </si>
  <si>
    <t>Standard_NC64as_T4_v3</t>
  </si>
  <si>
    <t>NVV4-Series (AMD Mi25)</t>
  </si>
  <si>
    <t>Standard_NV4as_v4</t>
  </si>
  <si>
    <t>1/8</t>
  </si>
  <si>
    <t>Standard_NV8as_v4</t>
  </si>
  <si>
    <t>1/4</t>
  </si>
  <si>
    <t>Standard_NV16as_v4</t>
  </si>
  <si>
    <t>1/2</t>
  </si>
  <si>
    <t>Please choose quantity ONLY for partition numbers selected</t>
  </si>
  <si>
    <t>Standard_NV32as_v4</t>
  </si>
  <si>
    <t>Total number of VMs cannot exceed 669 (~31 VMs reserved for Infrastructure VMs)</t>
  </si>
  <si>
    <t>*** Do Not Modify Data Below this Line ***</t>
  </si>
  <si>
    <t>Consumption by VM Size</t>
  </si>
  <si>
    <t># VMs</t>
  </si>
  <si>
    <t>VM Type</t>
  </si>
  <si>
    <t># Cores</t>
  </si>
  <si>
    <t>TempDisk</t>
  </si>
  <si>
    <t>Disk (GB)</t>
  </si>
  <si>
    <t>Selected HA VM Memory</t>
  </si>
  <si>
    <t>Azure VM Name</t>
  </si>
  <si>
    <t>Memory: GiB</t>
  </si>
  <si>
    <t>Local-Temp</t>
  </si>
  <si>
    <t xml:space="preserve">Memory Optimized </t>
  </si>
  <si>
    <t>Compute Optimized</t>
  </si>
  <si>
    <t>Max value</t>
  </si>
  <si>
    <t>NCv3_series_TOTAL</t>
  </si>
  <si>
    <t>NCasT4_v3</t>
  </si>
  <si>
    <t>NCasT4_v3_TOTAL</t>
  </si>
  <si>
    <t>NVV4</t>
  </si>
  <si>
    <t>NVV4_TOTAL</t>
  </si>
  <si>
    <t xml:space="preserve">HA Totals </t>
  </si>
  <si>
    <t>Non-HA Totals</t>
  </si>
  <si>
    <t>Total HA VMs</t>
  </si>
  <si>
    <t>Total Non-HA VMs</t>
  </si>
  <si>
    <t>Largest HA (Non-GPU) VM Memory</t>
  </si>
  <si>
    <t>*** NON-HA is GPU VMS</t>
  </si>
  <si>
    <t>Workload Type</t>
  </si>
  <si>
    <t>SQL/mySQL</t>
  </si>
  <si>
    <t>AppService</t>
  </si>
  <si>
    <t>Workload Size</t>
  </si>
  <si>
    <t>Large</t>
  </si>
  <si>
    <t>Small</t>
  </si>
  <si>
    <t>Medium</t>
  </si>
  <si>
    <t>EV3-series</t>
  </si>
  <si>
    <t>Total VMs per Workload</t>
  </si>
  <si>
    <t xml:space="preserve">Total VMs </t>
  </si>
  <si>
    <t xml:space="preserve"> Total number of VMs cannot exceed 669 (~31 VMs reserved for Infra VMs)</t>
  </si>
  <si>
    <t>GPU</t>
  </si>
  <si>
    <t>Workload 1 Cores</t>
  </si>
  <si>
    <t>Workload 2 Cores</t>
  </si>
  <si>
    <t>Workload 3 Cores</t>
  </si>
  <si>
    <t>Workload 4 Cores</t>
  </si>
  <si>
    <t>Workload 5 Cores</t>
  </si>
  <si>
    <t>Workload 6 Cores</t>
  </si>
  <si>
    <t>Workload 1 Memory</t>
  </si>
  <si>
    <t>Workload 2 Memory</t>
  </si>
  <si>
    <t>Workload 3 Memory</t>
  </si>
  <si>
    <t>Workload 4 Memory</t>
  </si>
  <si>
    <t>Workload 5 Memory</t>
  </si>
  <si>
    <t>Workload 6 Memory</t>
  </si>
  <si>
    <t>Cores_Inv_Workload</t>
  </si>
  <si>
    <t>Memory_Inv_Workload</t>
  </si>
  <si>
    <t>Quantity of Workloads</t>
  </si>
  <si>
    <t>Total Cores / Type</t>
  </si>
  <si>
    <t>Total Memory / Type</t>
  </si>
  <si>
    <t>Total Workload Cores</t>
  </si>
  <si>
    <t>Total Workload Memory</t>
  </si>
  <si>
    <t>Selected Largest HAVM Memory</t>
  </si>
  <si>
    <t>Total Tenant HA Workloads</t>
  </si>
  <si>
    <t>Total Tenant Non-HA Workloads</t>
  </si>
  <si>
    <t>Largest HA Tenant Memory</t>
  </si>
  <si>
    <t>Tenant 1  Disks</t>
  </si>
  <si>
    <t>Tenant 2 Disks</t>
  </si>
  <si>
    <t>Tenant 3 Disks</t>
  </si>
  <si>
    <t>Tenant 4 Disks</t>
  </si>
  <si>
    <t>Tenant 5 Disks</t>
  </si>
  <si>
    <t>Tenant 6 Disks</t>
  </si>
  <si>
    <t>Tenant 1 Temp Disk</t>
  </si>
  <si>
    <t>Tenant 2 Temp Disk</t>
  </si>
  <si>
    <t>Tenant 3 Temp Disk</t>
  </si>
  <si>
    <t>Tenant 4 Temp Disk</t>
  </si>
  <si>
    <t>Tenant 5 Temp Disk</t>
  </si>
  <si>
    <t>Tenant 6 Temp Disk</t>
  </si>
  <si>
    <t>Tenant 6 GPUs</t>
  </si>
  <si>
    <t>Disk_Inv_Workload</t>
  </si>
  <si>
    <t>GPU_Inv_Workload</t>
  </si>
  <si>
    <t>Total Disk / Workload</t>
  </si>
  <si>
    <t>Total Temp / Workload</t>
  </si>
  <si>
    <t>Total GPU / Workload</t>
  </si>
  <si>
    <t>Total Workload Disk</t>
  </si>
  <si>
    <t>Total Workload TempDisk</t>
  </si>
  <si>
    <t>Total Workload GPU</t>
  </si>
  <si>
    <t>This is to reference the GPU Partition Number based on GPU Type</t>
  </si>
  <si>
    <t>AMD_Mi25</t>
  </si>
  <si>
    <t>NVIDIA_T4</t>
  </si>
  <si>
    <t>Partition Number</t>
  </si>
  <si>
    <t xml:space="preserve">Total GPU Number </t>
  </si>
  <si>
    <t>GPU Type Selected</t>
  </si>
  <si>
    <t>AMD Mi25 GPU Type Selection</t>
  </si>
  <si>
    <t>NVIDIA_v100 Selection</t>
  </si>
  <si>
    <t>NVIDIA_T4 Selection</t>
  </si>
  <si>
    <t>VM GPU</t>
  </si>
  <si>
    <t>Example 6 GPU</t>
  </si>
  <si>
    <t>Available</t>
  </si>
  <si>
    <t>% Available</t>
  </si>
  <si>
    <t>Consumed GPU Number</t>
  </si>
  <si>
    <t>Consumed GPU Memory</t>
  </si>
  <si>
    <t>Workload GPU</t>
  </si>
  <si>
    <t>Number of GPU for Workload</t>
  </si>
  <si>
    <t>%Available</t>
  </si>
  <si>
    <t>To Calculate reserve for GPU</t>
  </si>
  <si>
    <t>N*R + (N-2)*V + min(H-R, sum(HAVMs))</t>
  </si>
  <si>
    <r>
      <t xml:space="preserve">R = HyperV reserve = 15% (which is Hyper-V and OS overhead of each host) - </t>
    </r>
    <r>
      <rPr>
        <sz val="11"/>
        <color rgb="FFFF0000"/>
        <rFont val="Calibri"/>
        <family val="2"/>
        <scheme val="minor"/>
      </rPr>
      <t>Changed to Per Host Overhead</t>
    </r>
    <r>
      <rPr>
        <sz val="11"/>
        <color theme="1"/>
        <rFont val="Calibri"/>
        <family val="2"/>
        <scheme val="minor"/>
      </rPr>
      <t xml:space="preserve">
V = Largest HA VM = 18 GB
H = Size of host = (Example Memory(GB) of SKU6 that is defined (in DefinedSolutionSKU tab))
N = Number of servers selected per SKU 
HAVMs = Total memory of HA infrastructure VMs (For GPU only VMs (142) and for non-GPU HAVMs is Count of Total VMs + 142)</t>
    </r>
  </si>
  <si>
    <t>(Sku_6_Servers*Sku_6_Memory_Overhead)+(Sku_6_Servers-2)*Largest_Infra_VM_GPUonly+MIN(Sku_6_Memory-Sku_6_Memory_Overhead,Sum_Non_HAVM)</t>
  </si>
  <si>
    <t>IF(AND(Total_HA_VM_Count=0,Total_Non_HA_VM_Count&gt;0),(Sku_6_Servers*Sku_6_Memory_Overhead)+(Sku_6_Servers-2)*Largest_Infra_VM_GPUonly+MIN(Sku_6_Memory-Sku_6_Memory_Overhead,Sum_Non_HAVM),(Sku_6_Servers*Sku_6_Memory_Overhead)+(Sku_6_Servers-2)*Largest_HA_VM_Memory+MIN(Sku_6_Memory-Sku_6_Memory_Overhead,(Total_Allocated_VM_Memory+Sum_Non_HAVM)))</t>
  </si>
  <si>
    <t>memoryofHAVMs = sum of the memory of all the HA VMs in the scale unit. This includes 142 GB of HA infrastructure + memory of HA tenant VMs</t>
  </si>
  <si>
    <t>Internal Calculations worksheet</t>
  </si>
  <si>
    <t>Modeled by VMs</t>
  </si>
  <si>
    <t xml:space="preserve">  # of Servers set on DefineByWorkloads Page.</t>
  </si>
  <si>
    <t>The SKU summaries, provided from vendor offerings should</t>
  </si>
  <si>
    <t>be ordered in ascending capacities. Excel function will move upward</t>
  </si>
  <si>
    <t>through choices until it finds one capable of supporting all 4 capacities</t>
  </si>
  <si>
    <t>created on the "DefineByVMFootprint" or "DefineByTenantFootprint" Tab.</t>
  </si>
  <si>
    <t>Modeled by Tenant</t>
  </si>
  <si>
    <t xml:space="preserve">  # of Servers set on DefineByWorkloadFootprint Page.</t>
  </si>
  <si>
    <t>VMs</t>
  </si>
  <si>
    <t>Workloads</t>
  </si>
  <si>
    <t>CPU Core Count RAW</t>
  </si>
  <si>
    <t xml:space="preserve">Memory Raw </t>
  </si>
  <si>
    <t>Per Host Overhead</t>
  </si>
  <si>
    <t>Total Infrastructure memory</t>
  </si>
  <si>
    <t>InfrastructureTotalVCPU</t>
  </si>
  <si>
    <t>Infrastructure pcore count</t>
  </si>
  <si>
    <t>Reserved Memory</t>
  </si>
  <si>
    <t>Servers per Ref Solution</t>
  </si>
  <si>
    <t>Memory for VMs</t>
  </si>
  <si>
    <t>Raw count - Infrastructure</t>
  </si>
  <si>
    <t>Memory for GPU VMs**</t>
  </si>
  <si>
    <t>-(Sku Servers*Overhead)</t>
  </si>
  <si>
    <t>**Will show difference only if GPU VMs are chosen</t>
  </si>
  <si>
    <t>Total CPU Cores</t>
  </si>
  <si>
    <t>Total Disk Storage</t>
  </si>
  <si>
    <t>Raw Temp Capacity</t>
  </si>
  <si>
    <t>Allocable Raw Capacity</t>
  </si>
  <si>
    <t>Mirror Copies</t>
  </si>
  <si>
    <t>Available Capacity (TiB)</t>
  </si>
  <si>
    <t>Desired Temp per Server</t>
  </si>
  <si>
    <t>Desired Tenant Temp</t>
  </si>
  <si>
    <t>Desired Workload Temp</t>
  </si>
  <si>
    <t>Temp Disk Storage</t>
  </si>
  <si>
    <t>Vlookup</t>
  </si>
  <si>
    <t># Servers</t>
  </si>
  <si>
    <t>Temp</t>
  </si>
  <si>
    <t>Resvd Memory</t>
  </si>
  <si>
    <t>Memory Raw</t>
  </si>
  <si>
    <t>This Tab used to create the project charts.</t>
  </si>
  <si>
    <t>SKUs % Available Cores</t>
  </si>
  <si>
    <t>SKUs % Temp Storage</t>
  </si>
  <si>
    <t>Wordload</t>
  </si>
  <si>
    <t>SKU1</t>
  </si>
  <si>
    <t>SKU2</t>
  </si>
  <si>
    <t>SKU3</t>
  </si>
  <si>
    <t>SKU4</t>
  </si>
  <si>
    <t>SKU5</t>
  </si>
  <si>
    <t>SKU6</t>
  </si>
  <si>
    <t>SKUs % Available Memory</t>
  </si>
  <si>
    <t>SKUs % Disk Storage</t>
  </si>
  <si>
    <t>CPU Cores by Type</t>
  </si>
  <si>
    <t>Dev/Test_Cores</t>
  </si>
  <si>
    <t>WebServer_Cores</t>
  </si>
  <si>
    <t>RelationalDB_Cores</t>
  </si>
  <si>
    <t>BIData_Cores</t>
  </si>
  <si>
    <t>FileServer_Cores</t>
  </si>
  <si>
    <t>DataStorage_Cores</t>
  </si>
  <si>
    <t>Workload</t>
  </si>
  <si>
    <t>Disk</t>
  </si>
  <si>
    <t>CPU Cores</t>
  </si>
  <si>
    <t>Available_Cores</t>
  </si>
  <si>
    <t>Dev/Test</t>
  </si>
  <si>
    <t>Individual</t>
  </si>
  <si>
    <t>Individual + DB</t>
  </si>
  <si>
    <t>Team</t>
  </si>
  <si>
    <t>Memory by Type</t>
  </si>
  <si>
    <t>Team + DB</t>
  </si>
  <si>
    <t>Dev/Test_Memory</t>
  </si>
  <si>
    <t>Web Server</t>
  </si>
  <si>
    <t>Low Traffic</t>
  </si>
  <si>
    <t>WebServer_Memory</t>
  </si>
  <si>
    <t>Low Traffic + DB</t>
  </si>
  <si>
    <t>RelationalDB_Memory</t>
  </si>
  <si>
    <t>Med Traffic</t>
  </si>
  <si>
    <t>BIData_Memory</t>
  </si>
  <si>
    <t>Med Traffic + DB</t>
  </si>
  <si>
    <t>FileServer_Memory</t>
  </si>
  <si>
    <t>High Traffic</t>
  </si>
  <si>
    <t>DataStorage_Memory</t>
  </si>
  <si>
    <t>High Traffic + DB</t>
  </si>
  <si>
    <t>Available_Memory</t>
  </si>
  <si>
    <t>File Server</t>
  </si>
  <si>
    <t>Relational DB</t>
  </si>
  <si>
    <t>Temp_Disk_by_Type</t>
  </si>
  <si>
    <t>Low Traffic + Web</t>
  </si>
  <si>
    <t>Dev/Test_Temp</t>
  </si>
  <si>
    <t>WebServer_Temp</t>
  </si>
  <si>
    <t>RelationalDB_Temp</t>
  </si>
  <si>
    <t>BIData_Temp</t>
  </si>
  <si>
    <t>High Traffic + Web</t>
  </si>
  <si>
    <t>FileServer_Temp</t>
  </si>
  <si>
    <t>BI Analytics</t>
  </si>
  <si>
    <t>DataStorage_Temp</t>
  </si>
  <si>
    <t>Available_Temp</t>
  </si>
  <si>
    <t>Data Storage</t>
  </si>
  <si>
    <t>Low Performance</t>
  </si>
  <si>
    <t>Med Performance</t>
  </si>
  <si>
    <t>High Performance</t>
  </si>
  <si>
    <t>Unused</t>
  </si>
  <si>
    <t>Disk_by_Type</t>
  </si>
  <si>
    <t>Dev/Test_Disk</t>
  </si>
  <si>
    <t>WebServer_Disk</t>
  </si>
  <si>
    <t>RelationalDB_Disk</t>
  </si>
  <si>
    <t>BIData_Disk</t>
  </si>
  <si>
    <t>FileServer_Disk</t>
  </si>
  <si>
    <t>DataStorage_Disk</t>
  </si>
  <si>
    <t>Available_Disk</t>
  </si>
  <si>
    <t>*** Tenant Charts Below this line ***</t>
  </si>
  <si>
    <t>Combined Tenants % Available Cores</t>
  </si>
  <si>
    <t>Combined Tenants % Available Memory</t>
  </si>
  <si>
    <t>Combined Tenants % Available TempDisk</t>
  </si>
  <si>
    <t>Combined Tenants % Available Disk</t>
  </si>
  <si>
    <t>Combined Tenants % Available GPU</t>
  </si>
  <si>
    <t>Workload 1</t>
  </si>
  <si>
    <t>Workload 2</t>
  </si>
  <si>
    <t>Workload 3</t>
  </si>
  <si>
    <t>Workload 4</t>
  </si>
  <si>
    <t>Workload 5</t>
  </si>
  <si>
    <t>Workload 6</t>
  </si>
  <si>
    <t>*** VM Charts Below this line ***</t>
  </si>
  <si>
    <t>Combined VMs % Available Cores</t>
  </si>
  <si>
    <t>Combined VMs % Available Memory</t>
  </si>
  <si>
    <t>Combined VMs % Available GPU</t>
  </si>
  <si>
    <t>Combined VMs % Available TempDisk</t>
  </si>
  <si>
    <t>Combined VM % Available Disk</t>
  </si>
  <si>
    <t>ComputeStorageScaleUnitSize</t>
  </si>
  <si>
    <t>TempStorageMultiplier</t>
  </si>
  <si>
    <t>Notes</t>
  </si>
  <si>
    <t>The ratio of physical memory to temporary storage for tenant VMs</t>
  </si>
  <si>
    <t>TempStorageMaximumRatio</t>
  </si>
  <si>
    <t>A maximum of 10% of the overall, formatted storage should be used for Temp storage</t>
  </si>
  <si>
    <t>AzureStackInfrastructureStorageTotal</t>
  </si>
  <si>
    <t>Total, formatted capacity (in GiB) for the virtual disks used exclusively by the Infrastructure</t>
  </si>
  <si>
    <t>PercentagePhysicalMemoryUsedbyHost</t>
  </si>
  <si>
    <t>Amount of Physical memory used by the host (e.g. Spaces Direct, Page Tables, Host Memory)</t>
  </si>
  <si>
    <t>AzureStackInfrastructureTotalVCPU</t>
  </si>
  <si>
    <t>Total number of virtual CPUs assigned to the Infrastructure virtual machines</t>
  </si>
  <si>
    <t>AzureStackInfrastructureTotalMemory</t>
  </si>
  <si>
    <t>OLD</t>
  </si>
  <si>
    <t xml:space="preserve">Total memory assigned to the Infrastructure virtual machines </t>
  </si>
  <si>
    <t xml:space="preserve">4*Number of Hosts </t>
  </si>
  <si>
    <t xml:space="preserve">An additional (4GB* Number of Azure Stack hosts) is also consumed </t>
  </si>
  <si>
    <t>TenantVMMemorySizeMaximum</t>
  </si>
  <si>
    <t>For tenant VMs - largest sized VM based on memory</t>
  </si>
  <si>
    <t>12 or largest HAVM (V)</t>
  </si>
  <si>
    <t>ServerCoresForHostPercent</t>
  </si>
  <si>
    <r>
      <rPr>
        <b/>
        <sz val="11"/>
        <color theme="1"/>
        <rFont val="Calibri"/>
        <family val="2"/>
        <scheme val="minor"/>
      </rPr>
      <t>Percentage</t>
    </r>
    <r>
      <rPr>
        <sz val="11"/>
        <color theme="1"/>
        <rFont val="Calibri"/>
        <family val="2"/>
        <scheme val="minor"/>
      </rPr>
      <t xml:space="preserve"> of cores per server that are to be used for host functionality</t>
    </r>
  </si>
  <si>
    <t>HostMemorySpacesDirectCachePercent</t>
  </si>
  <si>
    <r>
      <rPr>
        <b/>
        <sz val="11"/>
        <color theme="1"/>
        <rFont val="Calibri"/>
        <family val="2"/>
        <scheme val="minor"/>
      </rPr>
      <t>Percentage</t>
    </r>
    <r>
      <rPr>
        <sz val="11"/>
        <color theme="1"/>
        <rFont val="Calibri"/>
        <family val="2"/>
        <scheme val="minor"/>
      </rPr>
      <t xml:space="preserve"> of Spaces Direct Cache to reserve in main memory for control data structures</t>
    </r>
  </si>
  <si>
    <t>RatioVtoPInfrastructureCPU</t>
  </si>
  <si>
    <t>Assumed ratio of virtual to physical cores for all of the Infrastructure virtual machines (4:1)</t>
  </si>
  <si>
    <t>TotalVMMaximum</t>
  </si>
  <si>
    <t>Total Tenant VMs deployable + 31 Infrastructure VMs -(MAX 700)</t>
  </si>
  <si>
    <t>Largest_Infra_VM_GPUonly</t>
  </si>
  <si>
    <t>Largest Infra VM (V) (used in case only GPU VMs are selected) instead of 160 which is the TenantVMMemorySizeMaximum</t>
  </si>
  <si>
    <t>01/22 - Changed from 12 to 18 as per Hilton's guidance</t>
  </si>
  <si>
    <t>HyperV_Reserve</t>
  </si>
  <si>
    <t>value for Hyper-V and OS overhead of each host (~12/5%) for GPU</t>
  </si>
  <si>
    <t xml:space="preserve">Non_HA VMs </t>
  </si>
  <si>
    <t xml:space="preserve">If only GPU VMs are selected HA VM will be 142 GB </t>
  </si>
  <si>
    <t>Types of Workloads</t>
  </si>
  <si>
    <t>SKU</t>
  </si>
  <si>
    <t>App Service Small</t>
  </si>
  <si>
    <t>App Service medium</t>
  </si>
  <si>
    <t>App Service large</t>
  </si>
  <si>
    <t>N/A N/A</t>
  </si>
  <si>
    <t>SQL/mySQL N/A</t>
  </si>
  <si>
    <t>Kubernetes</t>
  </si>
  <si>
    <t>Event Hub</t>
  </si>
  <si>
    <t>IoT Hub</t>
  </si>
  <si>
    <t xml:space="preserve">total </t>
  </si>
  <si>
    <t>All Local Temp</t>
  </si>
  <si>
    <t>All Max Temp Storage</t>
  </si>
  <si>
    <t>Max Temp Storage Sorted</t>
  </si>
  <si>
    <t>S2D Cache SKU / Type</t>
  </si>
  <si>
    <t>S2D Capacity SKU / Type</t>
  </si>
  <si>
    <t>SAS HDD</t>
  </si>
  <si>
    <t>Version #</t>
  </si>
  <si>
    <t xml:space="preserve">Date Released </t>
  </si>
  <si>
    <t>Changes</t>
  </si>
  <si>
    <t>TotalVMStorage Column in DefineByVMFootprint Color change to green to indicate User input</t>
  </si>
  <si>
    <t>DefineByVMFootprint Sheet &amp; DefineByWorkloadFootprint Sheet updated to support Av2-Series and F-Series VMs (supported in 1804 build)</t>
  </si>
  <si>
    <t>Macros for DefineByVMFootprint Sheet &amp; DefineByWorkloadFootprint Sheet Suggested SKU buttons changed to accommodate new cells for consumed CPU Cores, Memory, Temp Storage and Storage</t>
  </si>
  <si>
    <t xml:space="preserve">Links added for VM Sizes </t>
  </si>
  <si>
    <t>Local temp on DefineByVMFootprint modified to reflect thin provisioning of temp storage - table values in TempStorageTables Sheet</t>
  </si>
  <si>
    <t>Asthetic changes for blocks of VM sizes - to be gradient and easily show groups of VM sizes on both DefineByVMFootprint and DefineByWorkloadFootprint</t>
  </si>
  <si>
    <t>DefinedSolutionSKUs:</t>
  </si>
  <si>
    <t xml:space="preserve">Consolidated SSD, HDD, and NVMe fields to Cache and Capacity </t>
  </si>
  <si>
    <t>SKUsRecommendationPage:</t>
  </si>
  <si>
    <t>Altered Named cells for calculations for raw temp and allocable raw capcacity and per host overhead in VMs and Workloads</t>
  </si>
  <si>
    <t>Referene_SolutionSizing:</t>
  </si>
  <si>
    <t>Altered Named Cells in column B for Cache Count, Cache Capacity, Capacity Count, and Capacity Capacity</t>
  </si>
  <si>
    <t>Reference_StorageCapacity:</t>
  </si>
  <si>
    <t>Ref_WorkloadSolutionSizing:</t>
  </si>
  <si>
    <t>Ref_WorkloadStorageCapacity:</t>
  </si>
  <si>
    <t>Deleted title on instructions saying version number</t>
  </si>
  <si>
    <t>added support for 16 node, Reference_AzureStackInputs added 13-16 in node table</t>
  </si>
  <si>
    <t>DefineByVMFootprint: changed number nodes that can be selected to 16</t>
  </si>
  <si>
    <t>DefineByWorkloadFootprint: Changed number of nodes that can be selected to 16</t>
  </si>
  <si>
    <t>Bug fix to update the error that started in 1903 that showed incorrect memory on the DefineByWorkldoadFootprint tab</t>
  </si>
  <si>
    <t>Name change to Azure Stack Hub. No other changes.</t>
  </si>
  <si>
    <t>GPU SKU Additions</t>
  </si>
  <si>
    <t xml:space="preserve">1. Added new Example 6 (SKU 6) in the DefinedSolutionSKUs tab </t>
  </si>
  <si>
    <t>2. Included GPU Type dropdown list with these three fields: AMD Mi25, INVIDIA T4, INVIDIA V100 for all SKUs 1 to 6</t>
  </si>
  <si>
    <t>3. Included field for GPU Number for all SKUs 1 to 6</t>
  </si>
  <si>
    <t>4. Included dropdown for GPU Partition number based on GPU Type. AMD has the partition numbers – 1/8, ¼, ½, 1 and NVIDIA has a partition number of 1 for all SKUs 1 to 6</t>
  </si>
  <si>
    <t>5. Added option "N/A" as one of the GPU options where user can choose not to make GPU additions</t>
  </si>
  <si>
    <t>6. Updated the DefineByVMFootprint tab with following:</t>
  </si>
  <si>
    <t xml:space="preserve">a. Included additional VM series - DSv2-series, DV3 Series, SV3, NCV3, NCasT4_v3 and NVV4 included updates requested today (2/10). </t>
  </si>
  <si>
    <t>b. Included links to new VM series.</t>
  </si>
  <si>
    <t>c. The following parts in the DefineByVMFootprint has these updates:</t>
  </si>
  <si>
    <r>
      <rPr>
        <sz val="11"/>
        <color theme="1"/>
        <rFont val="Segoe UI"/>
        <family val="2"/>
      </rPr>
      <t>i.</t>
    </r>
    <r>
      <rPr>
        <sz val="7"/>
        <color theme="1"/>
        <rFont val="Times New Roman"/>
        <family val="1"/>
      </rPr>
      <t xml:space="preserve">     </t>
    </r>
    <r>
      <rPr>
        <sz val="11"/>
        <color theme="1"/>
        <rFont val="Segoe UI"/>
        <family val="2"/>
      </rPr>
      <t>Table used for VLOOKUPS for “Select / Configure Desired Azure Stack Hub VMs”</t>
    </r>
  </si>
  <si>
    <r>
      <rPr>
        <sz val="11"/>
        <color theme="1"/>
        <rFont val="Segoe UI"/>
        <family val="2"/>
      </rPr>
      <t>ii.</t>
    </r>
    <r>
      <rPr>
        <sz val="7"/>
        <color theme="1"/>
        <rFont val="Times New Roman"/>
        <family val="1"/>
      </rPr>
      <t xml:space="preserve">     </t>
    </r>
    <r>
      <rPr>
        <sz val="11"/>
        <color theme="1"/>
        <rFont val="Segoe UI"/>
        <family val="2"/>
      </rPr>
      <t xml:space="preserve">In “Consumption by VM Size” table </t>
    </r>
  </si>
  <si>
    <r>
      <rPr>
        <sz val="11"/>
        <color theme="1"/>
        <rFont val="Segoe UI"/>
        <family val="2"/>
      </rPr>
      <t>iii.</t>
    </r>
    <r>
      <rPr>
        <sz val="7"/>
        <color theme="1"/>
        <rFont val="Times New Roman"/>
        <family val="1"/>
      </rPr>
      <t xml:space="preserve">     </t>
    </r>
    <r>
      <rPr>
        <sz val="11"/>
        <color theme="1"/>
        <rFont val="Segoe UI"/>
        <family val="2"/>
      </rPr>
      <t>VLOOKUP fields vCPU cores and Memory</t>
    </r>
  </si>
  <si>
    <t>d. Updated table “Select / Configure Desired Azure Stack Hub VMs” with GPUs, GPU Memory, Local (GiB) and Total VM Storage (GiB) for all GPU VMS (NCV3, NCasT4_v3 and NVV4)</t>
  </si>
  <si>
    <t>e. Included alert to let users select either AMD or INVIDIA VMs and not both where the GPU VMs are mentioned in Col J.</t>
  </si>
  <si>
    <t>f. Non-GPU VMs should have “N/A” in the GPUs and GPU Memory columns (F &amp; G)</t>
  </si>
  <si>
    <t>g. Included calculations to ignore AMD or NVIDIA if one or the other is chosen in the DefineSolutionSKU tab accordingly. These are applied throughout the two tabs and wherever needed.</t>
  </si>
  <si>
    <t>h. All consumption reflect this through the footprint tabs.</t>
  </si>
  <si>
    <t>i. AMD partition selection made in DefineSolutionSKUs tab reflects in VMFootprint and WorkloadFootprint - other AMD partitions are not available for use.</t>
  </si>
  <si>
    <t xml:space="preserve">6. Populated Example 6/SKU 6 table only if GPU VMs are selected, set to 0 by default for SKU 1 to 5: </t>
  </si>
  <si>
    <t>a. Calculated the Reserved Memory with the formula: N*R + (N-2)*V + min(H-R, sum(HAVMs)) in reference tab SKUsRecommendationPage.</t>
  </si>
  <si>
    <t>i. Populated information to capture SKU 6 and number of servers selected – Physical CPU Cores, Memory (GiB), Temp Disk Storage, Storage and Number of GPUs                                                </t>
  </si>
  <si>
    <t>ii. HAVMs is the sum of all non-GPU VMs selected +142GB, if only GPU VMs are selected then HAVMs will be 142 GB.                                               </t>
  </si>
  <si>
    <t>iii. If GPU only VMs are selected then used largest VM size as 18 GB. If non-GPU VMs are selected, then the  largest VM size is the larger of the two: 18 or the memory of the largest non-gpu vm.</t>
  </si>
  <si>
    <t>8. Updated capacity available vs consumed for Suggested SKU table.</t>
  </si>
  <si>
    <t>9. Calculated and updated consumed vs available in the Charting tab for GPU VMs</t>
  </si>
  <si>
    <t>10. Added new charts in DefineByVMFootprint tab to show GPU consumption and available percentages.</t>
  </si>
  <si>
    <t xml:space="preserve">11. Completed similar changes to DefineByWorkloadFootprint as VMFootprint. </t>
  </si>
  <si>
    <t>12. Conditional formatting for user to only enter value for AMD Partition choice made in DefinedSolution tab</t>
  </si>
  <si>
    <t>13. Updated reserve memory calculations</t>
  </si>
  <si>
    <t xml:space="preserve">14. GPU Type dropdown and partition number will be same for all SKUs (1 to 6). The AMD selected partition is the only one users can add quantity to. </t>
  </si>
  <si>
    <t>Updated memory for two SKUs:</t>
  </si>
  <si>
    <t>Standard_NC16as_T4_v3: 114688 =&gt; 112640 [110 GB]</t>
  </si>
  <si>
    <t>Standard_NC64as_T4_v3: 458752 =&gt; 450560 [440 GB]</t>
  </si>
  <si>
    <t>Revisited &amp; Confirmed calculations in SKUsRecommendationPage for Reserve Memory and Memory for VMs</t>
  </si>
  <si>
    <t>Added a row for Memory for GPU VMs in the SKUsRecommendationPage, DefineByVMFootprint, and DefineBYWorkloadFootprint</t>
  </si>
  <si>
    <t>Changed the largest Infra VM size to 18GB</t>
  </si>
  <si>
    <t>Fix a ReserveMemory calculation issue for noneGPU VMs</t>
  </si>
  <si>
    <t>Added E20_v3 VM Size</t>
  </si>
  <si>
    <t>Fixed some of the Cell List Validation for VM Sizes</t>
  </si>
  <si>
    <t>Inputs</t>
  </si>
  <si>
    <t>Nodes and Device Numbers</t>
  </si>
  <si>
    <t>#Nodes</t>
  </si>
  <si>
    <t>#Capacity Devices / Node</t>
  </si>
  <si>
    <t>#Cache Devices / Node</t>
  </si>
  <si>
    <t>Devices and Allocation</t>
  </si>
  <si>
    <t>Capacity Device Size (TB)</t>
  </si>
  <si>
    <t>Cache Device Size (TB)</t>
  </si>
  <si>
    <t>Cache Device Metadata Reserve (GiB)</t>
  </si>
  <si>
    <t>Desired Mirror Tier%</t>
  </si>
  <si>
    <t>In-Place Regeneration Capacity</t>
  </si>
  <si>
    <t>#Additional Capacity Devices</t>
  </si>
  <si>
    <t>Parity Encoding</t>
  </si>
  <si>
    <t>Optimization For:</t>
  </si>
  <si>
    <t>Balance (HDD Default)</t>
  </si>
  <si>
    <t>Results</t>
  </si>
  <si>
    <t>Available Capacity</t>
  </si>
  <si>
    <t>TiB</t>
  </si>
  <si>
    <t>Actual Available Capacity - Total</t>
  </si>
  <si>
    <t>Actual Available Capacity - Mirror</t>
  </si>
  <si>
    <t>Actual Available Capacity - Parity</t>
  </si>
  <si>
    <t>Min Available Capacity (All Mirror)</t>
  </si>
  <si>
    <t>Max Available Capacity (All Parity)</t>
  </si>
  <si>
    <t>Raw Capacity</t>
  </si>
  <si>
    <t>Regeneration Reserve</t>
  </si>
  <si>
    <t>Allocatable Raw Capacity</t>
  </si>
  <si>
    <t>Secondary Results</t>
  </si>
  <si>
    <t>Cache as %Available Capacity</t>
  </si>
  <si>
    <t>Parity: Data Symbols</t>
  </si>
  <si>
    <t>Parity: Parity Groups</t>
  </si>
  <si>
    <t>Parity: Global Parities</t>
  </si>
  <si>
    <t>Parity: Maximum Local Data Symbols</t>
  </si>
  <si>
    <t>Parity: Efficiency</t>
  </si>
  <si>
    <t>Regeneration Reserve as %Raw</t>
  </si>
  <si>
    <t>Minimum Nodes @ Full Resiliency</t>
  </si>
  <si>
    <t>In-Node Regeneration Required</t>
  </si>
  <si>
    <t>True/False List</t>
  </si>
  <si>
    <t>Parity Encoding Options</t>
  </si>
  <si>
    <t>Data Symbols/Group</t>
  </si>
  <si>
    <t>Repair Speed (Custom)</t>
  </si>
  <si>
    <t>Capacity (SSD Default)</t>
  </si>
  <si>
    <r>
      <rPr>
        <b/>
        <sz val="12"/>
        <color theme="1"/>
        <rFont val="Calibri"/>
        <family val="2"/>
        <scheme val="minor"/>
      </rPr>
      <t xml:space="preserve">NOTE </t>
    </r>
    <r>
      <rPr>
        <sz val="12"/>
        <color theme="1"/>
        <rFont val="Calibri"/>
        <family val="2"/>
        <scheme val="minor"/>
      </rPr>
      <t>- Only edit or update cells with a background color that matches this cell.  There are pull down selections as well where appropriate. Modifications made outside of these may render the results incorrect.</t>
    </r>
  </si>
  <si>
    <t>SKU Selection:</t>
  </si>
  <si>
    <t>Capacity information for selected SKU:</t>
  </si>
  <si>
    <t>Select # of Physical Nodes</t>
  </si>
  <si>
    <t>NVIDIA_A100</t>
  </si>
  <si>
    <t>NVIDIA_V100</t>
  </si>
  <si>
    <t>NVv4-Series (AMD Mi25)</t>
  </si>
  <si>
    <t>Standard_NC24ads_A100_v4</t>
  </si>
  <si>
    <t>Standard_NC48ads_A100_v4</t>
  </si>
  <si>
    <t>NVIDIA_A100 Selection</t>
  </si>
  <si>
    <t>NC_A100 v4-Series</t>
  </si>
  <si>
    <t>Resource Provider Type:</t>
  </si>
  <si>
    <t>Workload Size:</t>
  </si>
  <si>
    <t>Workload Quantity:</t>
  </si>
  <si>
    <t>The Azure Stack Hub Capacity Planner provides you with the ability to design various allocations of computing resources and see how these would fit across a selection of hardware offerings. Detailed instructions for the use of the Azure Stack Hub Capacity Planner are provided below. And the most recent version can be accessed on the URL link above.</t>
  </si>
  <si>
    <t>Azure Stack Hub is delivered as an integrated system with software installed by solution partners. These solution partners will have their own, authoritative versions of the Azure Stack Hub Capacity Planner and those should be used to finalize discussions of solution capacity prior to purchasing an integrated system.</t>
  </si>
  <si>
    <t>The basic building blocks used for resource modeling within the Azure Stack Hub Calculator are the various sizes of Azure Stack Hub virtual machines (VMs). These VMs range in size from the smallest, "Basic 0", up to the current largest VMs, "Standard_Fsv2" and "Standard_E20" series.
You can also choose from three GPU models that are available in NVIDIA A100, V100, NVIDIA T4 and AMD MI25 GPUs. Based on customer needs, various quantities of differing VMs can be used to create computing resource allocations using this tool in two different ways.</t>
  </si>
  <si>
    <t>Azure Stack Hub Capacity Planner - Azure Stack Hub | Microsoft Learn</t>
  </si>
  <si>
    <t>Cannot be combined with AMD Mi25 VMs in rows C125 to C128 below</t>
  </si>
  <si>
    <t>Cannot be combined with NVIDIA VMs in row C112 to C123 above</t>
  </si>
  <si>
    <t>NCads_A100_v4_TOTAL</t>
  </si>
  <si>
    <t>NCads_A100_v4</t>
  </si>
  <si>
    <t>Tenant 1</t>
  </si>
  <si>
    <t>Tenant 2</t>
  </si>
  <si>
    <t>Tenant 3</t>
  </si>
  <si>
    <t>Tenant 4</t>
  </si>
  <si>
    <t>Tenant 5</t>
  </si>
  <si>
    <t>Tenant 6</t>
  </si>
  <si>
    <t>Event Hub small</t>
  </si>
  <si>
    <t>Event Hub medium</t>
  </si>
  <si>
    <t>Event Hub large</t>
  </si>
  <si>
    <t>Custom VM Workload</t>
  </si>
  <si>
    <t>Select the "desired target ratio" of virtual cores to map to physical cores</t>
  </si>
  <si>
    <t>Latest online documentation:</t>
  </si>
  <si>
    <t>24 SFF</t>
  </si>
  <si>
    <t>700W</t>
  </si>
  <si>
    <t>Mirrored</t>
  </si>
  <si>
    <r>
      <rPr>
        <b/>
        <sz val="11"/>
        <color theme="1"/>
        <rFont val="Calibri"/>
        <family val="2"/>
        <scheme val="minor"/>
      </rPr>
      <t>ONLY</t>
    </r>
    <r>
      <rPr>
        <sz val="11"/>
        <color theme="1"/>
        <rFont val="Calibri"/>
        <family val="2"/>
        <scheme val="minor"/>
      </rPr>
      <t xml:space="preserve"> Edit Cells with Green Background</t>
    </r>
  </si>
  <si>
    <t>Note:</t>
  </si>
  <si>
    <t>Added Nvidia A100 GPU to DefinedSolutionSKUs as a hardware option</t>
  </si>
  <si>
    <t>Added the 2 x Nvidia A100 VM series (NC_A100 v4) VMs</t>
  </si>
  <si>
    <t>S2D Cache Capacity (GB) per disk</t>
  </si>
  <si>
    <t>S2D Capacity Capacity (GB) per disk</t>
  </si>
  <si>
    <t>25Gb</t>
  </si>
  <si>
    <t>Azure Stack Hub - Example Physical Hardware Configurations</t>
  </si>
  <si>
    <t>Note: the "virtual (vCPU) to Phsyical (pCPU) Ratio" changes dynamically, based on number of virtual CPUs deployed, this is not a hard limit.</t>
  </si>
  <si>
    <t>Added "Sheet Protection" on [DefineByVMFootprint] and [DefineByWorkloadFootprint] sheets, to enable Cell Protection to protect formulas, this simplifies use of the capacity planner. The password is "Microsoft", if needed to unlock.</t>
  </si>
  <si>
    <t>Added Event Hub RP in [DefineByWorkloadFootprint] sizing, which uses 5 x "Standard_D11_v2" SKU VMs per Event Hub "Capacity Unit" (CU).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</si>
</sst>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0.00_);[Red]\(0.00\)"/>
  </numFmts>
  <fonts count="66" x14ac:knownFonts="1">
    <font>
      <sz val="11"/>
      <color theme="1"/>
      <name val="Calibri"/>
      <family val="2"/>
      <scheme val="minor"/>
    </font>
    <font>
      <sz val="12"/>
      <color theme="1"/>
      <name val="Calibri"/>
      <family val="2"/>
      <scheme val="minor"/>
    </font>
    <font>
      <sz val="11"/>
      <color theme="1"/>
      <name val="Calibri"/>
      <family val="2"/>
      <scheme val="minor"/>
    </font>
    <font>
      <b/>
      <sz val="15"/>
      <color theme="3"/>
      <name val="Calibri"/>
      <family val="2"/>
      <scheme val="minor"/>
    </font>
    <font>
      <sz val="11"/>
      <color rgb="FF006100"/>
      <name val="Calibri"/>
      <family val="2"/>
      <scheme val="minor"/>
    </font>
    <font>
      <sz val="11"/>
      <color rgb="FF3F3F76"/>
      <name val="Calibri"/>
      <family val="2"/>
      <scheme val="minor"/>
    </font>
    <font>
      <b/>
      <sz val="11"/>
      <color theme="3"/>
      <name val="Calibri"/>
      <family val="2"/>
      <scheme val="minor"/>
    </font>
    <font>
      <b/>
      <sz val="11"/>
      <color theme="1"/>
      <name val="Calibri"/>
      <family val="2"/>
      <scheme val="minor"/>
    </font>
    <font>
      <b/>
      <sz val="11"/>
      <color rgb="FF006100"/>
      <name val="Calibri"/>
      <family val="2"/>
      <scheme val="minor"/>
    </font>
    <font>
      <sz val="11"/>
      <color theme="0" tint="-0.14999847407452621"/>
      <name val="Calibri"/>
      <family val="2"/>
      <scheme val="minor"/>
    </font>
    <font>
      <sz val="11"/>
      <color theme="0"/>
      <name val="Calibri"/>
      <family val="2"/>
      <scheme val="minor"/>
    </font>
    <font>
      <b/>
      <sz val="14"/>
      <color theme="0"/>
      <name val="Calibri"/>
      <family val="2"/>
      <scheme val="minor"/>
    </font>
    <font>
      <b/>
      <sz val="12"/>
      <color theme="1"/>
      <name val="Calibri"/>
      <family val="2"/>
      <scheme val="minor"/>
    </font>
    <font>
      <sz val="11"/>
      <name val="Calibri"/>
      <family val="2"/>
      <scheme val="minor"/>
    </font>
    <font>
      <b/>
      <sz val="12"/>
      <color theme="4" tint="-0.249977111117893"/>
      <name val="Calibri"/>
      <family val="2"/>
      <scheme val="minor"/>
    </font>
    <font>
      <b/>
      <sz val="14"/>
      <color theme="4" tint="-0.249977111117893"/>
      <name val="Calibri"/>
      <family val="2"/>
      <scheme val="minor"/>
    </font>
    <font>
      <b/>
      <sz val="12"/>
      <name val="Calibri"/>
      <family val="2"/>
      <scheme val="minor"/>
    </font>
    <font>
      <sz val="12"/>
      <color theme="1"/>
      <name val="Calibri"/>
      <family val="2"/>
      <scheme val="minor"/>
    </font>
    <font>
      <sz val="14"/>
      <color theme="0"/>
      <name val="Calibri"/>
      <family val="2"/>
      <scheme val="minor"/>
    </font>
    <font>
      <b/>
      <sz val="11"/>
      <color theme="0"/>
      <name val="Calibri"/>
      <family val="2"/>
      <scheme val="minor"/>
    </font>
    <font>
      <sz val="11"/>
      <color theme="4" tint="-0.249977111117893"/>
      <name val="Calibri"/>
      <family val="2"/>
      <scheme val="minor"/>
    </font>
    <font>
      <b/>
      <sz val="14"/>
      <name val="Calibri"/>
      <family val="2"/>
      <scheme val="minor"/>
    </font>
    <font>
      <b/>
      <sz val="12"/>
      <color theme="0"/>
      <name val="Calibri"/>
      <family val="2"/>
      <scheme val="minor"/>
    </font>
    <font>
      <b/>
      <sz val="12"/>
      <color theme="1" tint="0.249977111117893"/>
      <name val="Calibri"/>
      <family val="2"/>
      <scheme val="minor"/>
    </font>
    <font>
      <sz val="12"/>
      <name val="Calibri"/>
      <family val="2"/>
      <scheme val="minor"/>
    </font>
    <font>
      <b/>
      <sz val="14"/>
      <color theme="1"/>
      <name val="Calibri"/>
      <family val="2"/>
      <scheme val="minor"/>
    </font>
    <font>
      <u/>
      <sz val="11"/>
      <color theme="10"/>
      <name val="Calibri"/>
      <family val="2"/>
      <scheme val="minor"/>
    </font>
    <font>
      <sz val="12"/>
      <color theme="4" tint="-0.249977111117893"/>
      <name val="Calibri"/>
      <family val="2"/>
      <scheme val="minor"/>
    </font>
    <font>
      <b/>
      <sz val="14"/>
      <color theme="4" tint="-0.499984740745262"/>
      <name val="Calibri"/>
      <family val="2"/>
      <scheme val="minor"/>
    </font>
    <font>
      <b/>
      <sz val="36"/>
      <color theme="4"/>
      <name val="Calibri"/>
      <family val="2"/>
      <scheme val="minor"/>
    </font>
    <font>
      <b/>
      <sz val="20"/>
      <color theme="4" tint="-0.249977111117893"/>
      <name val="Calibri"/>
      <family val="2"/>
      <scheme val="minor"/>
    </font>
    <font>
      <sz val="20"/>
      <color theme="1"/>
      <name val="Calibri"/>
      <family val="2"/>
      <scheme val="minor"/>
    </font>
    <font>
      <sz val="14"/>
      <color theme="1"/>
      <name val="Calibri"/>
      <family val="2"/>
      <scheme val="minor"/>
    </font>
    <font>
      <sz val="12"/>
      <color theme="0"/>
      <name val="Calibri"/>
      <family val="2"/>
      <scheme val="minor"/>
    </font>
    <font>
      <sz val="16"/>
      <color theme="0"/>
      <name val="Calibri"/>
      <family val="2"/>
      <scheme val="minor"/>
    </font>
    <font>
      <sz val="16"/>
      <color theme="1"/>
      <name val="Calibri"/>
      <family val="2"/>
      <scheme val="minor"/>
    </font>
    <font>
      <sz val="12"/>
      <color rgb="FF545454"/>
      <name val="Arial"/>
      <family val="2"/>
    </font>
    <font>
      <sz val="12"/>
      <color theme="10"/>
      <name val="Calibri"/>
      <family val="2"/>
      <scheme val="minor"/>
    </font>
    <font>
      <b/>
      <sz val="11"/>
      <name val="Calibri"/>
      <family val="2"/>
      <scheme val="minor"/>
    </font>
    <font>
      <sz val="11"/>
      <color rgb="FFFF0000"/>
      <name val="Calibri"/>
      <family val="2"/>
      <scheme val="minor"/>
    </font>
    <font>
      <sz val="8"/>
      <name val="Calibri"/>
      <family val="2"/>
      <scheme val="minor"/>
    </font>
    <font>
      <sz val="11"/>
      <color rgb="FF0070C0"/>
      <name val="Calibri"/>
      <family val="2"/>
      <scheme val="minor"/>
    </font>
    <font>
      <sz val="11"/>
      <color theme="1"/>
      <name val="Calibri"/>
      <family val="2"/>
      <charset val="1"/>
    </font>
    <font>
      <sz val="11"/>
      <color rgb="FF171717"/>
      <name val="Calibri"/>
      <family val="2"/>
    </font>
    <font>
      <sz val="11"/>
      <color rgb="FF000000"/>
      <name val="Calibri"/>
      <family val="2"/>
      <scheme val="minor"/>
    </font>
    <font>
      <u/>
      <sz val="11"/>
      <color rgb="FF0070C0"/>
      <name val="Calibri"/>
      <family val="2"/>
      <scheme val="minor"/>
    </font>
    <font>
      <u/>
      <sz val="12"/>
      <color rgb="FF0070C0"/>
      <name val="Calibri"/>
      <family val="2"/>
      <scheme val="minor"/>
    </font>
    <font>
      <i/>
      <sz val="12"/>
      <color theme="1"/>
      <name val="Calibri"/>
      <family val="2"/>
      <scheme val="minor"/>
    </font>
    <font>
      <b/>
      <sz val="12"/>
      <color theme="4" tint="-0.499984740745262"/>
      <name val="Calibri"/>
      <family val="2"/>
      <scheme val="minor"/>
    </font>
    <font>
      <b/>
      <sz val="12"/>
      <color theme="1" tint="0.499984740745262"/>
      <name val="Calibri"/>
      <family val="2"/>
      <scheme val="minor"/>
    </font>
    <font>
      <sz val="11"/>
      <color theme="1" tint="0.499984740745262"/>
      <name val="Calibri"/>
      <family val="2"/>
      <scheme val="minor"/>
    </font>
    <font>
      <b/>
      <sz val="11"/>
      <color theme="1"/>
      <name val="Segoe UI"/>
      <family val="2"/>
    </font>
    <font>
      <sz val="11"/>
      <color theme="1"/>
      <name val="Segoe UI"/>
      <family val="2"/>
    </font>
    <font>
      <sz val="7"/>
      <color theme="1"/>
      <name val="Times New Roman"/>
      <family val="1"/>
    </font>
    <font>
      <sz val="11"/>
      <color theme="1"/>
      <name val="Calibri"/>
      <family val="2"/>
    </font>
    <font>
      <sz val="11"/>
      <color rgb="FF00B050"/>
      <name val="Calibri"/>
      <family val="2"/>
      <scheme val="minor"/>
    </font>
    <font>
      <sz val="12"/>
      <color rgb="FFFF0000"/>
      <name val="Calibri"/>
      <family val="2"/>
      <scheme val="minor"/>
    </font>
    <font>
      <sz val="10"/>
      <color rgb="FF171717"/>
      <name val="Segoe UI"/>
      <family val="2"/>
    </font>
    <font>
      <b/>
      <sz val="11"/>
      <color theme="8" tint="-0.249977111117893"/>
      <name val="Calibri"/>
      <family val="2"/>
      <scheme val="minor"/>
    </font>
    <font>
      <i/>
      <sz val="10"/>
      <color theme="1"/>
      <name val="Calibri"/>
      <family val="2"/>
      <scheme val="minor"/>
    </font>
    <font>
      <u/>
      <sz val="12"/>
      <color theme="10"/>
      <name val="Calibri"/>
      <family val="2"/>
      <scheme val="minor"/>
    </font>
    <font>
      <b/>
      <sz val="20"/>
      <color rgb="FF000000"/>
      <name val="Calibri"/>
      <family val="2"/>
      <scheme val="minor"/>
    </font>
    <font>
      <b/>
      <sz val="14"/>
      <color rgb="FFFF0000"/>
      <name val="Calibri"/>
      <family val="2"/>
      <scheme val="minor"/>
    </font>
    <font>
      <b/>
      <u/>
      <sz val="18"/>
      <color theme="1"/>
      <name val="Calibri"/>
      <family val="2"/>
      <scheme val="minor"/>
    </font>
    <font>
      <b/>
      <sz val="12"/>
      <color rgb="FFFF0000"/>
      <name val="Calibri"/>
      <family val="2"/>
      <scheme val="minor"/>
    </font>
    <font>
      <b/>
      <u/>
      <sz val="14"/>
      <color theme="10"/>
      <name val="Calibri"/>
      <family val="2"/>
      <scheme val="minor"/>
    </font>
  </fonts>
  <fills count="23">
    <fill>
      <patternFill patternType="none"/>
    </fill>
    <fill>
      <patternFill patternType="gray125"/>
    </fill>
    <fill>
      <patternFill patternType="solid">
        <fgColor rgb="FFC6EFCE"/>
      </patternFill>
    </fill>
    <fill>
      <patternFill patternType="solid">
        <fgColor rgb="FFFFCC99"/>
      </patternFill>
    </fill>
    <fill>
      <patternFill patternType="solid">
        <fgColor theme="9" tint="0.79998168889431442"/>
        <bgColor indexed="65"/>
      </patternFill>
    </fill>
    <fill>
      <patternFill patternType="solid">
        <fgColor theme="4"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theme="0"/>
        <bgColor indexed="64"/>
      </patternFill>
    </fill>
    <fill>
      <patternFill patternType="solid">
        <fgColor theme="4"/>
        <bgColor theme="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tint="0.79998168889431442"/>
        <bgColor theme="4" tint="0.79998168889431442"/>
      </patternFill>
    </fill>
    <fill>
      <patternFill patternType="solid">
        <fgColor theme="6" tint="0.79998168889431442"/>
        <bgColor indexed="64"/>
      </patternFill>
    </fill>
    <fill>
      <patternFill patternType="solid">
        <fgColor theme="8" tint="0.59999389629810485"/>
        <bgColor indexed="64"/>
      </patternFill>
    </fill>
    <fill>
      <patternFill patternType="solid">
        <fgColor theme="2"/>
        <bgColor indexed="64"/>
      </patternFill>
    </fill>
    <fill>
      <patternFill patternType="solid">
        <fgColor theme="2"/>
        <bgColor theme="4"/>
      </patternFill>
    </fill>
    <fill>
      <patternFill patternType="solid">
        <fgColor rgb="FF0070C0"/>
        <bgColor indexed="64"/>
      </patternFill>
    </fill>
    <fill>
      <patternFill patternType="solid">
        <fgColor theme="8"/>
        <bgColor indexed="64"/>
      </patternFill>
    </fill>
  </fills>
  <borders count="123">
    <border>
      <left/>
      <right/>
      <top/>
      <bottom/>
      <diagonal/>
    </border>
    <border>
      <left/>
      <right/>
      <top/>
      <bottom style="thick">
        <color theme="4"/>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right/>
      <top/>
      <bottom style="medium">
        <color theme="4" tint="0.39997558519241921"/>
      </bottom>
      <diagonal/>
    </border>
    <border>
      <left/>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theme="4" tint="-0.249977111117893"/>
      </left>
      <right/>
      <top style="thin">
        <color theme="4" tint="-0.249977111117893"/>
      </top>
      <bottom/>
      <diagonal/>
    </border>
    <border>
      <left/>
      <right/>
      <top style="thin">
        <color theme="4" tint="-0.249977111117893"/>
      </top>
      <bottom/>
      <diagonal/>
    </border>
    <border>
      <left style="thin">
        <color theme="4" tint="-0.249977111117893"/>
      </left>
      <right/>
      <top/>
      <bottom/>
      <diagonal/>
    </border>
    <border>
      <left/>
      <right style="thin">
        <color theme="4" tint="-0.249977111117893"/>
      </right>
      <top/>
      <bottom/>
      <diagonal/>
    </border>
    <border>
      <left style="medium">
        <color theme="4" tint="-0.249977111117893"/>
      </left>
      <right/>
      <top style="medium">
        <color theme="4" tint="-0.249977111117893"/>
      </top>
      <bottom style="medium">
        <color theme="4" tint="-0.249977111117893"/>
      </bottom>
      <diagonal/>
    </border>
    <border>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style="medium">
        <color theme="4" tint="-0.249977111117893"/>
      </left>
      <right/>
      <top/>
      <bottom style="medium">
        <color theme="4" tint="-0.249977111117893"/>
      </bottom>
      <diagonal/>
    </border>
    <border>
      <left/>
      <right style="medium">
        <color theme="4" tint="-0.249977111117893"/>
      </right>
      <top/>
      <bottom style="medium">
        <color theme="4" tint="-0.249977111117893"/>
      </bottom>
      <diagonal/>
    </border>
    <border>
      <left style="thin">
        <color theme="4" tint="-0.249977111117893"/>
      </left>
      <right/>
      <top/>
      <bottom style="thin">
        <color theme="4" tint="-0.249977111117893"/>
      </bottom>
      <diagonal/>
    </border>
    <border>
      <left/>
      <right/>
      <top/>
      <bottom style="thin">
        <color theme="4" tint="-0.249977111117893"/>
      </bottom>
      <diagonal/>
    </border>
    <border>
      <left/>
      <right style="thin">
        <color theme="4" tint="-0.249977111117893"/>
      </right>
      <top/>
      <bottom style="thin">
        <color theme="4" tint="-0.249977111117893"/>
      </bottom>
      <diagonal/>
    </border>
    <border>
      <left style="medium">
        <color theme="4" tint="-0.249977111117893"/>
      </left>
      <right/>
      <top style="medium">
        <color theme="4" tint="-0.249977111117893"/>
      </top>
      <bottom/>
      <diagonal/>
    </border>
    <border>
      <left/>
      <right style="medium">
        <color theme="4" tint="-0.249977111117893"/>
      </right>
      <top style="medium">
        <color theme="4" tint="-0.249977111117893"/>
      </top>
      <bottom/>
      <diagonal/>
    </border>
    <border>
      <left style="medium">
        <color theme="4" tint="-0.249977111117893"/>
      </left>
      <right/>
      <top/>
      <bottom/>
      <diagonal/>
    </border>
    <border>
      <left/>
      <right style="medium">
        <color theme="4" tint="-0.249977111117893"/>
      </right>
      <top/>
      <bottom/>
      <diagonal/>
    </border>
    <border>
      <left style="thin">
        <color indexed="64"/>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theme="4" tint="-0.249977111117893"/>
      </left>
      <right style="medium">
        <color theme="4" tint="-0.249977111117893"/>
      </right>
      <top style="medium">
        <color theme="4" tint="-0.249977111117893"/>
      </top>
      <bottom style="medium">
        <color theme="4" tint="-0.249977111117893"/>
      </bottom>
      <diagonal/>
    </border>
    <border>
      <left/>
      <right/>
      <top/>
      <bottom style="medium">
        <color theme="4" tint="-0.249977111117893"/>
      </bottom>
      <diagonal/>
    </border>
    <border>
      <left style="thin">
        <color auto="1"/>
      </left>
      <right style="thin">
        <color auto="1"/>
      </right>
      <top/>
      <bottom style="thin">
        <color auto="1"/>
      </bottom>
      <diagonal/>
    </border>
    <border>
      <left style="thin">
        <color theme="2" tint="-0.499984740745262"/>
      </left>
      <right style="thin">
        <color theme="2" tint="-0.499984740745262"/>
      </right>
      <top/>
      <bottom/>
      <diagonal/>
    </border>
    <border>
      <left style="thin">
        <color theme="2" tint="-0.499984740745262"/>
      </left>
      <right style="thin">
        <color theme="2" tint="-0.499984740745262"/>
      </right>
      <top/>
      <bottom style="thin">
        <color theme="2" tint="-0.499984740745262"/>
      </bottom>
      <diagonal/>
    </border>
    <border>
      <left style="thin">
        <color theme="4" tint="-0.249977111117893"/>
      </left>
      <right style="thin">
        <color theme="4" tint="-0.249977111117893"/>
      </right>
      <top style="thin">
        <color theme="4" tint="-0.249977111117893"/>
      </top>
      <bottom style="thin">
        <color theme="4" tint="-0.249977111117893"/>
      </bottom>
      <diagonal/>
    </border>
    <border>
      <left style="thin">
        <color theme="4" tint="-0.249977111117893"/>
      </left>
      <right/>
      <top style="thin">
        <color theme="4" tint="-0.249977111117893"/>
      </top>
      <bottom style="thin">
        <color theme="4" tint="-0.249977111117893"/>
      </bottom>
      <diagonal/>
    </border>
    <border>
      <left/>
      <right/>
      <top style="thin">
        <color theme="4" tint="-0.249977111117893"/>
      </top>
      <bottom style="thin">
        <color theme="4" tint="-0.249977111117893"/>
      </bottom>
      <diagonal/>
    </border>
    <border>
      <left/>
      <right/>
      <top style="medium">
        <color theme="4" tint="-0.249977111117893"/>
      </top>
      <bottom/>
      <diagonal/>
    </border>
    <border>
      <left style="thin">
        <color theme="4" tint="-0.249977111117893"/>
      </left>
      <right style="thin">
        <color theme="4" tint="-0.249977111117893"/>
      </right>
      <top style="thin">
        <color theme="4" tint="-0.249977111117893"/>
      </top>
      <bottom/>
      <diagonal/>
    </border>
    <border>
      <left style="thin">
        <color theme="4" tint="-0.249977111117893"/>
      </left>
      <right style="thin">
        <color theme="4" tint="-0.249977111117893"/>
      </right>
      <top/>
      <bottom/>
      <diagonal/>
    </border>
    <border>
      <left style="medium">
        <color theme="4" tint="-0.249977111117893"/>
      </left>
      <right style="medium">
        <color theme="4" tint="-0.249977111117893"/>
      </right>
      <top style="medium">
        <color theme="4" tint="-0.249977111117893"/>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style="thick">
        <color theme="4"/>
      </left>
      <right style="thick">
        <color theme="4"/>
      </right>
      <top/>
      <bottom/>
      <diagonal/>
    </border>
    <border>
      <left style="thick">
        <color theme="4"/>
      </left>
      <right/>
      <top/>
      <bottom/>
      <diagonal/>
    </border>
    <border>
      <left style="medium">
        <color indexed="64"/>
      </left>
      <right style="medium">
        <color indexed="64"/>
      </right>
      <top/>
      <bottom style="medium">
        <color indexed="64"/>
      </bottom>
      <diagonal/>
    </border>
    <border>
      <left style="medium">
        <color indexed="64"/>
      </left>
      <right style="medium">
        <color theme="4" tint="-0.249977111117893"/>
      </right>
      <top style="medium">
        <color indexed="64"/>
      </top>
      <bottom style="medium">
        <color indexed="64"/>
      </bottom>
      <diagonal/>
    </border>
    <border>
      <left/>
      <right style="thin">
        <color theme="0"/>
      </right>
      <top/>
      <bottom/>
      <diagonal/>
    </border>
    <border>
      <left style="thin">
        <color theme="0"/>
      </left>
      <right style="thin">
        <color theme="0"/>
      </right>
      <top/>
      <bottom/>
      <diagonal/>
    </border>
    <border>
      <left style="thick">
        <color theme="4"/>
      </left>
      <right/>
      <top/>
      <bottom style="thick">
        <color theme="4"/>
      </bottom>
      <diagonal/>
    </border>
    <border>
      <left style="medium">
        <color theme="4"/>
      </left>
      <right style="medium">
        <color indexed="64"/>
      </right>
      <top style="thick">
        <color theme="4"/>
      </top>
      <bottom style="medium">
        <color theme="4" tint="0.39997558519241921"/>
      </bottom>
      <diagonal/>
    </border>
    <border>
      <left style="thin">
        <color theme="4" tint="-0.249977111117893"/>
      </left>
      <right style="thin">
        <color theme="4" tint="-0.249977111117893"/>
      </right>
      <top/>
      <bottom style="thin">
        <color theme="4" tint="-0.249977111117893"/>
      </bottom>
      <diagonal/>
    </border>
    <border>
      <left style="medium">
        <color indexed="64"/>
      </left>
      <right style="thin">
        <color indexed="64"/>
      </right>
      <top/>
      <bottom/>
      <diagonal/>
    </border>
    <border>
      <left/>
      <right style="medium">
        <color theme="4" tint="-0.249977111117893"/>
      </right>
      <top/>
      <bottom style="medium">
        <color indexed="64"/>
      </bottom>
      <diagonal/>
    </border>
    <border>
      <left style="medium">
        <color theme="4" tint="-0.249977111117893"/>
      </left>
      <right/>
      <top style="thin">
        <color auto="1"/>
      </top>
      <bottom style="thin">
        <color auto="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medium">
        <color indexed="64"/>
      </left>
      <right/>
      <top/>
      <bottom style="thin">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thin">
        <color auto="1"/>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theme="4" tint="0.39997558519241921"/>
      </bottom>
      <diagonal/>
    </border>
    <border>
      <left style="medium">
        <color indexed="64"/>
      </left>
      <right style="medium">
        <color theme="4" tint="-0.249977111117893"/>
      </right>
      <top style="medium">
        <color indexed="64"/>
      </top>
      <bottom/>
      <diagonal/>
    </border>
    <border>
      <left style="medium">
        <color theme="4" tint="-0.249977111117893"/>
      </left>
      <right/>
      <top style="medium">
        <color indexed="64"/>
      </top>
      <bottom/>
      <diagonal/>
    </border>
    <border>
      <left style="thin">
        <color theme="2" tint="-0.499984740745262"/>
      </left>
      <right/>
      <top/>
      <bottom style="thin">
        <color theme="2" tint="-0.499984740745262"/>
      </bottom>
      <diagonal/>
    </border>
    <border>
      <left/>
      <right style="thin">
        <color indexed="64"/>
      </right>
      <top style="thin">
        <color theme="4" tint="-0.249977111117893"/>
      </top>
      <bottom style="thin">
        <color theme="4" tint="-0.249977111117893"/>
      </bottom>
      <diagonal/>
    </border>
    <border>
      <left/>
      <right style="thin">
        <color indexed="64"/>
      </right>
      <top style="thin">
        <color theme="4" tint="-0.249977111117893"/>
      </top>
      <bottom/>
      <diagonal/>
    </border>
    <border>
      <left style="thin">
        <color theme="4" tint="-0.249977111117893"/>
      </left>
      <right style="thin">
        <color theme="2" tint="-0.499984740745262"/>
      </right>
      <top/>
      <bottom/>
      <diagonal/>
    </border>
    <border>
      <left style="thin">
        <color theme="2" tint="-0.499984740745262"/>
      </left>
      <right style="thin">
        <color theme="2" tint="-0.499984740745262"/>
      </right>
      <top style="thin">
        <color theme="2" tint="-0.499984740745262"/>
      </top>
      <bottom/>
      <diagonal/>
    </border>
    <border>
      <left style="thin">
        <color theme="4" tint="-0.249977111117893"/>
      </left>
      <right style="thin">
        <color indexed="64"/>
      </right>
      <top style="thin">
        <color theme="4" tint="-0.249977111117893"/>
      </top>
      <bottom/>
      <diagonal/>
    </border>
    <border>
      <left style="thin">
        <color theme="4" tint="-0.249977111117893"/>
      </left>
      <right style="thin">
        <color indexed="64"/>
      </right>
      <top style="thin">
        <color theme="4" tint="-0.249977111117893"/>
      </top>
      <bottom style="thin">
        <color theme="4" tint="-0.249977111117893"/>
      </bottom>
      <diagonal/>
    </border>
    <border>
      <left style="medium">
        <color theme="4" tint="-0.249977111117893"/>
      </left>
      <right style="thin">
        <color indexed="64"/>
      </right>
      <top style="medium">
        <color theme="4" tint="-0.249977111117893"/>
      </top>
      <bottom style="medium">
        <color theme="4" tint="-0.249977111117893"/>
      </bottom>
      <diagonal/>
    </border>
    <border>
      <left/>
      <right style="thin">
        <color indexed="64"/>
      </right>
      <top style="thin">
        <color theme="4" tint="-0.249977111117893"/>
      </top>
      <bottom style="thin">
        <color indexed="64"/>
      </bottom>
      <diagonal/>
    </border>
    <border>
      <left style="medium">
        <color indexed="64"/>
      </left>
      <right style="medium">
        <color indexed="64"/>
      </right>
      <top style="medium">
        <color indexed="64"/>
      </top>
      <bottom style="medium">
        <color theme="4" tint="-0.249977111117893"/>
      </bottom>
      <diagonal/>
    </border>
    <border>
      <left style="medium">
        <color indexed="64"/>
      </left>
      <right style="medium">
        <color indexed="64"/>
      </right>
      <top style="medium">
        <color theme="4" tint="-0.249977111117893"/>
      </top>
      <bottom style="medium">
        <color theme="4" tint="-0.249977111117893"/>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auto="1"/>
      </left>
      <right/>
      <top style="thin">
        <color theme="4" tint="0.39997558519241921"/>
      </top>
      <bottom/>
      <diagonal/>
    </border>
    <border>
      <left/>
      <right style="thin">
        <color theme="4" tint="0.39997558519241921"/>
      </right>
      <top/>
      <bottom/>
      <diagonal/>
    </border>
    <border>
      <left/>
      <right/>
      <top style="thin">
        <color rgb="FF00B0F0"/>
      </top>
      <bottom style="thin">
        <color rgb="FF00B0F0"/>
      </bottom>
      <diagonal/>
    </border>
    <border>
      <left style="thin">
        <color indexed="64"/>
      </left>
      <right/>
      <top style="thin">
        <color rgb="FF00B0F0"/>
      </top>
      <bottom style="thin">
        <color rgb="FF00B0F0"/>
      </bottom>
      <diagonal/>
    </border>
    <border>
      <left style="thin">
        <color indexed="64"/>
      </left>
      <right style="thin">
        <color theme="4" tint="0.39997558519241921"/>
      </right>
      <top style="thin">
        <color rgb="FF00B0F0"/>
      </top>
      <bottom/>
      <diagonal/>
    </border>
    <border>
      <left style="thin">
        <color theme="4" tint="0.39997558519241921"/>
      </left>
      <right style="thin">
        <color theme="4" tint="0.39997558519241921"/>
      </right>
      <top style="thin">
        <color rgb="FF00B0F0"/>
      </top>
      <bottom/>
      <diagonal/>
    </border>
    <border>
      <left style="thin">
        <color indexed="64"/>
      </left>
      <right/>
      <top style="thin">
        <color rgb="FF6699FF"/>
      </top>
      <bottom style="thin">
        <color rgb="FF00B0F0"/>
      </bottom>
      <diagonal/>
    </border>
    <border>
      <left/>
      <right/>
      <top style="thin">
        <color rgb="FF6699FF"/>
      </top>
      <bottom style="thin">
        <color rgb="FF00B0F0"/>
      </bottom>
      <diagonal/>
    </border>
    <border>
      <left/>
      <right style="thin">
        <color rgb="FF6699FF"/>
      </right>
      <top style="thin">
        <color rgb="FF00B0F0"/>
      </top>
      <bottom style="thin">
        <color rgb="FF00B0F0"/>
      </bottom>
      <diagonal/>
    </border>
    <border>
      <left style="thin">
        <color theme="4" tint="0.39997558519241921"/>
      </left>
      <right style="thin">
        <color rgb="FF6699FF"/>
      </right>
      <top style="thin">
        <color rgb="FF00B0F0"/>
      </top>
      <bottom style="thin">
        <color rgb="FF6699FF"/>
      </bottom>
      <diagonal/>
    </border>
    <border>
      <left/>
      <right style="thin">
        <color rgb="FF6699FF"/>
      </right>
      <top style="thin">
        <color rgb="FF6699FF"/>
      </top>
      <bottom style="thin">
        <color rgb="FF00B0F0"/>
      </bottom>
      <diagonal/>
    </border>
    <border>
      <left style="medium">
        <color indexed="64"/>
      </left>
      <right/>
      <top style="medium">
        <color indexed="64"/>
      </top>
      <bottom style="medium">
        <color theme="4" tint="-0.249977111117893"/>
      </bottom>
      <diagonal/>
    </border>
    <border>
      <left/>
      <right/>
      <top style="medium">
        <color indexed="64"/>
      </top>
      <bottom style="medium">
        <color theme="4" tint="-0.249977111117893"/>
      </bottom>
      <diagonal/>
    </border>
    <border>
      <left/>
      <right style="medium">
        <color indexed="64"/>
      </right>
      <top style="medium">
        <color indexed="64"/>
      </top>
      <bottom style="medium">
        <color theme="4" tint="-0.249977111117893"/>
      </bottom>
      <diagonal/>
    </border>
    <border>
      <left style="medium">
        <color indexed="64"/>
      </left>
      <right/>
      <top style="medium">
        <color theme="4" tint="-0.249977111117893"/>
      </top>
      <bottom/>
      <diagonal/>
    </border>
    <border>
      <left/>
      <right style="medium">
        <color indexed="64"/>
      </right>
      <top style="medium">
        <color theme="4" tint="-0.249977111117893"/>
      </top>
      <bottom/>
      <diagonal/>
    </border>
    <border>
      <left/>
      <right/>
      <top/>
      <bottom style="thin">
        <color theme="4" tint="0.39997558519241921"/>
      </bottom>
      <diagonal/>
    </border>
    <border>
      <left style="thin">
        <color theme="2" tint="-0.499984740745262"/>
      </left>
      <right style="thin">
        <color theme="2" tint="-0.499984740745262"/>
      </right>
      <top style="thin">
        <color indexed="64"/>
      </top>
      <bottom/>
      <diagonal/>
    </border>
    <border>
      <left style="thin">
        <color theme="2" tint="-0.499984740745262"/>
      </left>
      <right/>
      <top style="thin">
        <color indexed="64"/>
      </top>
      <bottom/>
      <diagonal/>
    </border>
    <border>
      <left style="thin">
        <color indexed="64"/>
      </left>
      <right/>
      <top style="medium">
        <color theme="4" tint="-0.249977111117893"/>
      </top>
      <bottom style="medium">
        <color theme="4" tint="-0.249977111117893"/>
      </bottom>
      <diagonal/>
    </border>
    <border>
      <left style="thin">
        <color theme="2" tint="-0.499984740745262"/>
      </left>
      <right style="thin">
        <color indexed="64"/>
      </right>
      <top style="thin">
        <color indexed="64"/>
      </top>
      <bottom/>
      <diagonal/>
    </border>
    <border>
      <left style="thin">
        <color theme="2" tint="-0.499984740745262"/>
      </left>
      <right style="thin">
        <color indexed="64"/>
      </right>
      <top/>
      <bottom style="thin">
        <color theme="2" tint="-0.499984740745262"/>
      </bottom>
      <diagonal/>
    </border>
    <border>
      <left style="thin">
        <color theme="2" tint="-0.499984740745262"/>
      </left>
      <right style="thin">
        <color theme="2" tint="-0.499984740745262"/>
      </right>
      <top/>
      <bottom style="thin">
        <color indexed="64"/>
      </bottom>
      <diagonal/>
    </border>
    <border>
      <left style="thin">
        <color theme="2" tint="-0.499984740745262"/>
      </left>
      <right style="thin">
        <color indexed="64"/>
      </right>
      <top/>
      <bottom style="thin">
        <color indexed="64"/>
      </bottom>
      <diagonal/>
    </border>
  </borders>
  <cellStyleXfs count="8">
    <xf numFmtId="0" fontId="0" fillId="0" borderId="0"/>
    <xf numFmtId="9" fontId="2" fillId="0" borderId="0" applyFont="0" applyFill="0" applyBorder="0" applyAlignment="0" applyProtection="0"/>
    <xf numFmtId="0" fontId="3" fillId="0" borderId="1" applyNumberFormat="0" applyFill="0" applyAlignment="0" applyProtection="0"/>
    <xf numFmtId="0" fontId="4" fillId="2" borderId="0" applyNumberFormat="0" applyBorder="0" applyAlignment="0" applyProtection="0"/>
    <xf numFmtId="0" fontId="5" fillId="3" borderId="2" applyNumberFormat="0" applyAlignment="0" applyProtection="0"/>
    <xf numFmtId="0" fontId="6" fillId="0" borderId="4" applyNumberFormat="0" applyFill="0" applyAlignment="0" applyProtection="0"/>
    <xf numFmtId="0" fontId="2" fillId="4" borderId="0" applyNumberFormat="0" applyBorder="0" applyAlignment="0" applyProtection="0"/>
    <xf numFmtId="0" fontId="26" fillId="0" borderId="0" applyNumberFormat="0" applyFill="0" applyBorder="0" applyAlignment="0" applyProtection="0"/>
  </cellStyleXfs>
  <cellXfs count="723">
    <xf numFmtId="0" fontId="0" fillId="0" borderId="0" xfId="0"/>
    <xf numFmtId="9" fontId="0" fillId="0" borderId="0" xfId="1" applyFont="1"/>
    <xf numFmtId="0" fontId="4" fillId="2" borderId="0" xfId="3"/>
    <xf numFmtId="0" fontId="3" fillId="2" borderId="1" xfId="2" applyFill="1"/>
    <xf numFmtId="164" fontId="0" fillId="0" borderId="0" xfId="1" applyNumberFormat="1" applyFont="1"/>
    <xf numFmtId="9" fontId="5" fillId="3" borderId="2" xfId="4" applyNumberFormat="1"/>
    <xf numFmtId="0" fontId="5" fillId="3" borderId="2" xfId="4"/>
    <xf numFmtId="165" fontId="0" fillId="0" borderId="0" xfId="0" applyNumberFormat="1"/>
    <xf numFmtId="0" fontId="8" fillId="2" borderId="0" xfId="3" applyFont="1" applyAlignment="1">
      <alignment horizontal="right"/>
    </xf>
    <xf numFmtId="0" fontId="7" fillId="0" borderId="0" xfId="0" applyFont="1" applyAlignment="1">
      <alignment horizontal="center"/>
    </xf>
    <xf numFmtId="0" fontId="8" fillId="2" borderId="0" xfId="3" applyFont="1"/>
    <xf numFmtId="0" fontId="7" fillId="4" borderId="0" xfId="6" applyFont="1"/>
    <xf numFmtId="165" fontId="7" fillId="4" borderId="0" xfId="6" applyNumberFormat="1" applyFont="1"/>
    <xf numFmtId="9" fontId="7" fillId="0" borderId="0" xfId="1" applyFont="1"/>
    <xf numFmtId="0" fontId="0" fillId="0" borderId="0" xfId="0" applyAlignment="1">
      <alignment horizontal="right"/>
    </xf>
    <xf numFmtId="0" fontId="0" fillId="0" borderId="0" xfId="0" applyAlignment="1">
      <alignment horizontal="center"/>
    </xf>
    <xf numFmtId="0" fontId="0" fillId="0" borderId="0" xfId="0" applyAlignment="1">
      <alignment horizontal="center" vertical="center"/>
    </xf>
    <xf numFmtId="0" fontId="0" fillId="0" borderId="14" xfId="0" applyBorder="1"/>
    <xf numFmtId="1" fontId="0" fillId="0" borderId="0" xfId="0" applyNumberFormat="1" applyAlignment="1">
      <alignment horizontal="center"/>
    </xf>
    <xf numFmtId="1" fontId="0" fillId="0" borderId="0" xfId="0" applyNumberFormat="1" applyAlignment="1">
      <alignment horizontal="center" vertical="center"/>
    </xf>
    <xf numFmtId="0" fontId="0" fillId="6" borderId="14" xfId="0" applyFill="1" applyBorder="1" applyAlignment="1">
      <alignment horizontal="center"/>
    </xf>
    <xf numFmtId="0" fontId="5" fillId="3" borderId="14" xfId="4" applyBorder="1" applyAlignment="1">
      <alignment horizontal="center"/>
    </xf>
    <xf numFmtId="9" fontId="7" fillId="0" borderId="0" xfId="1" applyFont="1" applyAlignment="1">
      <alignment horizontal="center"/>
    </xf>
    <xf numFmtId="0" fontId="7" fillId="0" borderId="0" xfId="0" applyFont="1" applyAlignment="1">
      <alignment horizontal="right"/>
    </xf>
    <xf numFmtId="0" fontId="9" fillId="0" borderId="0" xfId="0" applyFont="1"/>
    <xf numFmtId="9" fontId="0" fillId="0" borderId="0" xfId="0" applyNumberFormat="1"/>
    <xf numFmtId="0" fontId="3" fillId="0" borderId="0" xfId="2" applyBorder="1" applyAlignment="1">
      <alignment horizontal="center"/>
    </xf>
    <xf numFmtId="0" fontId="7" fillId="0" borderId="0" xfId="0" applyFont="1"/>
    <xf numFmtId="0" fontId="6" fillId="0" borderId="0" xfId="5" applyBorder="1" applyAlignment="1">
      <alignment horizontal="center"/>
    </xf>
    <xf numFmtId="9" fontId="6" fillId="0" borderId="0" xfId="5" applyNumberFormat="1" applyBorder="1" applyAlignment="1">
      <alignment horizontal="center"/>
    </xf>
    <xf numFmtId="9" fontId="0" fillId="0" borderId="0" xfId="1" applyFont="1" applyAlignment="1">
      <alignment horizontal="right"/>
    </xf>
    <xf numFmtId="0" fontId="0" fillId="0" borderId="0" xfId="0" applyAlignment="1">
      <alignment horizontal="left"/>
    </xf>
    <xf numFmtId="0" fontId="0" fillId="8" borderId="27" xfId="0" applyFill="1" applyBorder="1"/>
    <xf numFmtId="0" fontId="0" fillId="8" borderId="0" xfId="0" applyFill="1"/>
    <xf numFmtId="0" fontId="0" fillId="10" borderId="0" xfId="0" applyFill="1"/>
    <xf numFmtId="0" fontId="10" fillId="10" borderId="0" xfId="0" applyFont="1" applyFill="1"/>
    <xf numFmtId="0" fontId="13" fillId="0" borderId="0" xfId="0" applyFont="1" applyAlignment="1">
      <alignment horizontal="left"/>
    </xf>
    <xf numFmtId="0" fontId="0" fillId="8" borderId="15" xfId="0" applyFill="1" applyBorder="1"/>
    <xf numFmtId="0" fontId="0" fillId="8" borderId="38" xfId="0" applyFill="1" applyBorder="1"/>
    <xf numFmtId="0" fontId="0" fillId="8" borderId="39" xfId="0" applyFill="1" applyBorder="1"/>
    <xf numFmtId="0" fontId="10" fillId="11" borderId="0" xfId="0" applyFont="1" applyFill="1"/>
    <xf numFmtId="0" fontId="0" fillId="8" borderId="26" xfId="0" applyFill="1" applyBorder="1"/>
    <xf numFmtId="0" fontId="0" fillId="0" borderId="27" xfId="0" applyBorder="1"/>
    <xf numFmtId="0" fontId="0" fillId="0" borderId="42" xfId="0" applyBorder="1"/>
    <xf numFmtId="0" fontId="0" fillId="0" borderId="0" xfId="0" quotePrefix="1"/>
    <xf numFmtId="0" fontId="10" fillId="10" borderId="0" xfId="0" quotePrefix="1" applyFont="1" applyFill="1"/>
    <xf numFmtId="0" fontId="12" fillId="8" borderId="26" xfId="0" applyFont="1" applyFill="1" applyBorder="1" applyAlignment="1">
      <alignment horizontal="center"/>
    </xf>
    <xf numFmtId="0" fontId="12" fillId="0" borderId="0" xfId="0" applyFont="1" applyAlignment="1">
      <alignment horizontal="right"/>
    </xf>
    <xf numFmtId="2" fontId="0" fillId="0" borderId="0" xfId="0" applyNumberFormat="1"/>
    <xf numFmtId="0" fontId="12" fillId="0" borderId="43" xfId="0" applyFont="1" applyBorder="1" applyAlignment="1">
      <alignment horizontal="center"/>
    </xf>
    <xf numFmtId="0" fontId="12" fillId="8" borderId="25" xfId="0" applyFont="1" applyFill="1" applyBorder="1"/>
    <xf numFmtId="0" fontId="10" fillId="0" borderId="0" xfId="0" applyFont="1"/>
    <xf numFmtId="0" fontId="12" fillId="8" borderId="40" xfId="0" applyFont="1" applyFill="1" applyBorder="1" applyAlignment="1">
      <alignment horizontal="center"/>
    </xf>
    <xf numFmtId="0" fontId="19" fillId="10" borderId="0" xfId="0" applyFont="1" applyFill="1"/>
    <xf numFmtId="0" fontId="22" fillId="10" borderId="0" xfId="0" applyFont="1" applyFill="1"/>
    <xf numFmtId="0" fontId="0" fillId="8" borderId="0" xfId="0" applyFill="1" applyAlignment="1">
      <alignment horizontal="left"/>
    </xf>
    <xf numFmtId="0" fontId="0" fillId="8" borderId="0" xfId="0" quotePrefix="1" applyFill="1"/>
    <xf numFmtId="0" fontId="0" fillId="0" borderId="25" xfId="0" applyBorder="1"/>
    <xf numFmtId="0" fontId="0" fillId="0" borderId="40" xfId="0" applyBorder="1" applyAlignment="1">
      <alignment horizontal="center"/>
    </xf>
    <xf numFmtId="0" fontId="0" fillId="8" borderId="0" xfId="0" applyFill="1" applyAlignment="1">
      <alignment horizontal="right"/>
    </xf>
    <xf numFmtId="0" fontId="0" fillId="8" borderId="0" xfId="0" quotePrefix="1" applyFill="1" applyAlignment="1">
      <alignment horizontal="right"/>
    </xf>
    <xf numFmtId="0" fontId="0" fillId="10" borderId="0" xfId="0" applyFill="1" applyAlignment="1">
      <alignment horizontal="center"/>
    </xf>
    <xf numFmtId="0" fontId="10" fillId="10" borderId="33" xfId="0" applyFont="1" applyFill="1" applyBorder="1"/>
    <xf numFmtId="0" fontId="10" fillId="10" borderId="48" xfId="0" applyFont="1" applyFill="1" applyBorder="1"/>
    <xf numFmtId="0" fontId="10" fillId="10" borderId="34" xfId="0" applyFont="1" applyFill="1" applyBorder="1"/>
    <xf numFmtId="0" fontId="10" fillId="10" borderId="35" xfId="0" quotePrefix="1" applyFont="1" applyFill="1" applyBorder="1"/>
    <xf numFmtId="0" fontId="10" fillId="10" borderId="36" xfId="0" applyFont="1" applyFill="1" applyBorder="1"/>
    <xf numFmtId="0" fontId="10" fillId="10" borderId="28" xfId="0" quotePrefix="1" applyFont="1" applyFill="1" applyBorder="1"/>
    <xf numFmtId="0" fontId="10" fillId="10" borderId="41" xfId="0" applyFont="1" applyFill="1" applyBorder="1"/>
    <xf numFmtId="0" fontId="10" fillId="10" borderId="29" xfId="0" applyFont="1" applyFill="1" applyBorder="1"/>
    <xf numFmtId="165" fontId="0" fillId="0" borderId="0" xfId="0" applyNumberFormat="1" applyAlignment="1">
      <alignment horizontal="center"/>
    </xf>
    <xf numFmtId="0" fontId="12" fillId="0" borderId="0" xfId="0" applyFont="1" applyAlignment="1">
      <alignment horizontal="center"/>
    </xf>
    <xf numFmtId="0" fontId="12" fillId="8" borderId="40" xfId="0" applyFont="1" applyFill="1" applyBorder="1" applyAlignment="1">
      <alignment horizontal="right"/>
    </xf>
    <xf numFmtId="0" fontId="12" fillId="0" borderId="40" xfId="0" applyFont="1" applyBorder="1" applyAlignment="1">
      <alignment horizontal="center"/>
    </xf>
    <xf numFmtId="0" fontId="12" fillId="0" borderId="27" xfId="0" applyFont="1" applyBorder="1" applyAlignment="1">
      <alignment horizontal="center"/>
    </xf>
    <xf numFmtId="0" fontId="12" fillId="0" borderId="0" xfId="0" applyFont="1"/>
    <xf numFmtId="0" fontId="28" fillId="0" borderId="0" xfId="0" applyFont="1"/>
    <xf numFmtId="0" fontId="12" fillId="0" borderId="25" xfId="0" applyFont="1" applyBorder="1" applyAlignment="1">
      <alignment horizontal="center"/>
    </xf>
    <xf numFmtId="165" fontId="0" fillId="10" borderId="0" xfId="0" applyNumberFormat="1" applyFill="1" applyAlignment="1">
      <alignment horizontal="center"/>
    </xf>
    <xf numFmtId="0" fontId="20" fillId="0" borderId="0" xfId="0" applyFont="1"/>
    <xf numFmtId="0" fontId="30" fillId="0" borderId="0" xfId="0" applyFont="1"/>
    <xf numFmtId="0" fontId="31" fillId="0" borderId="0" xfId="0" applyFont="1"/>
    <xf numFmtId="0" fontId="11" fillId="11" borderId="6" xfId="0" applyFont="1" applyFill="1" applyBorder="1"/>
    <xf numFmtId="0" fontId="11" fillId="11" borderId="7" xfId="0" applyFont="1" applyFill="1" applyBorder="1"/>
    <xf numFmtId="0" fontId="25" fillId="11" borderId="7" xfId="0" applyFont="1" applyFill="1" applyBorder="1"/>
    <xf numFmtId="0" fontId="7" fillId="11" borderId="8" xfId="0" applyFont="1" applyFill="1" applyBorder="1"/>
    <xf numFmtId="0" fontId="11" fillId="11" borderId="9" xfId="0" applyFont="1" applyFill="1" applyBorder="1"/>
    <xf numFmtId="0" fontId="11" fillId="11" borderId="0" xfId="0" applyFont="1" applyFill="1"/>
    <xf numFmtId="0" fontId="25" fillId="11" borderId="0" xfId="0" applyFont="1" applyFill="1"/>
    <xf numFmtId="0" fontId="7" fillId="11" borderId="10" xfId="0" applyFont="1" applyFill="1" applyBorder="1"/>
    <xf numFmtId="0" fontId="11" fillId="11" borderId="11" xfId="0" applyFont="1" applyFill="1" applyBorder="1"/>
    <xf numFmtId="0" fontId="11" fillId="11" borderId="12" xfId="0" applyFont="1" applyFill="1" applyBorder="1"/>
    <xf numFmtId="0" fontId="25" fillId="11" borderId="12" xfId="0" applyFont="1" applyFill="1" applyBorder="1"/>
    <xf numFmtId="0" fontId="19" fillId="11" borderId="13" xfId="0" applyFont="1" applyFill="1" applyBorder="1"/>
    <xf numFmtId="1" fontId="0" fillId="0" borderId="0" xfId="0" applyNumberFormat="1"/>
    <xf numFmtId="0" fontId="24" fillId="0" borderId="0" xfId="0" quotePrefix="1" applyFont="1" applyAlignment="1">
      <alignment horizontal="center"/>
    </xf>
    <xf numFmtId="0" fontId="24" fillId="0" borderId="0" xfId="0" applyFont="1" applyAlignment="1">
      <alignment vertical="center" wrapText="1"/>
    </xf>
    <xf numFmtId="0" fontId="24" fillId="0" borderId="37" xfId="0" applyFont="1" applyBorder="1" applyAlignment="1">
      <alignment vertical="center" wrapText="1"/>
    </xf>
    <xf numFmtId="0" fontId="24" fillId="0" borderId="52" xfId="0" applyFont="1" applyBorder="1" applyAlignment="1">
      <alignment vertical="center" wrapText="1"/>
    </xf>
    <xf numFmtId="0" fontId="33" fillId="0" borderId="37" xfId="0" applyFont="1" applyBorder="1" applyAlignment="1">
      <alignment horizontal="center"/>
    </xf>
    <xf numFmtId="0" fontId="24" fillId="0" borderId="37" xfId="0" quotePrefix="1" applyFont="1" applyBorder="1" applyAlignment="1">
      <alignment horizontal="center"/>
    </xf>
    <xf numFmtId="0" fontId="12" fillId="0" borderId="37" xfId="0" applyFont="1" applyBorder="1"/>
    <xf numFmtId="0" fontId="22" fillId="0" borderId="0" xfId="0" applyFont="1" applyAlignment="1">
      <alignment horizontal="center"/>
    </xf>
    <xf numFmtId="0" fontId="24" fillId="0" borderId="37" xfId="0" quotePrefix="1" applyFont="1" applyBorder="1" applyAlignment="1">
      <alignment horizontal="left" vertical="top" wrapText="1"/>
    </xf>
    <xf numFmtId="0" fontId="22" fillId="0" borderId="52" xfId="0" applyFont="1" applyBorder="1" applyAlignment="1">
      <alignment horizontal="center"/>
    </xf>
    <xf numFmtId="0" fontId="24" fillId="0" borderId="0" xfId="0" applyFont="1" applyAlignment="1">
      <alignment horizontal="left" wrapText="1"/>
    </xf>
    <xf numFmtId="0" fontId="24" fillId="8" borderId="14" xfId="0" applyFont="1" applyFill="1" applyBorder="1" applyAlignment="1">
      <alignment horizontal="center" vertical="center" wrapText="1"/>
    </xf>
    <xf numFmtId="0" fontId="26" fillId="0" borderId="14" xfId="7" applyBorder="1" applyAlignment="1">
      <alignment horizontal="center"/>
    </xf>
    <xf numFmtId="0" fontId="26" fillId="0" borderId="14" xfId="7" applyBorder="1" applyAlignment="1">
      <alignment horizontal="center" vertical="center"/>
    </xf>
    <xf numFmtId="0" fontId="0" fillId="14" borderId="0" xfId="0" applyFill="1"/>
    <xf numFmtId="0" fontId="0" fillId="0" borderId="0" xfId="0" applyAlignment="1">
      <alignment wrapText="1"/>
    </xf>
    <xf numFmtId="0" fontId="12" fillId="0" borderId="0" xfId="0" applyFont="1" applyAlignment="1">
      <alignment horizontal="left" vertical="center" wrapText="1"/>
    </xf>
    <xf numFmtId="0" fontId="0" fillId="7" borderId="16" xfId="0" applyFill="1" applyBorder="1"/>
    <xf numFmtId="0" fontId="0" fillId="7" borderId="42" xfId="0" applyFill="1" applyBorder="1"/>
    <xf numFmtId="0" fontId="24" fillId="0" borderId="37" xfId="0" quotePrefix="1" applyFont="1" applyBorder="1" applyAlignment="1">
      <alignment horizontal="center" vertical="center" wrapText="1"/>
    </xf>
    <xf numFmtId="0" fontId="24" fillId="0" borderId="37" xfId="0" quotePrefix="1" applyFont="1" applyBorder="1" applyAlignment="1">
      <alignment horizontal="left" vertical="top"/>
    </xf>
    <xf numFmtId="0" fontId="24" fillId="0" borderId="53" xfId="0" quotePrefix="1" applyFont="1" applyBorder="1" applyAlignment="1">
      <alignment horizontal="left" vertical="top"/>
    </xf>
    <xf numFmtId="0" fontId="26" fillId="0" borderId="38" xfId="7" applyBorder="1" applyAlignment="1">
      <alignment horizontal="center"/>
    </xf>
    <xf numFmtId="0" fontId="0" fillId="12" borderId="0" xfId="0" applyFill="1" applyAlignment="1">
      <alignment horizontal="center"/>
    </xf>
    <xf numFmtId="0" fontId="36" fillId="0" borderId="0" xfId="0" applyFont="1"/>
    <xf numFmtId="0" fontId="0" fillId="14" borderId="64" xfId="0" applyFill="1" applyBorder="1"/>
    <xf numFmtId="0" fontId="0" fillId="8" borderId="64" xfId="0" applyFill="1" applyBorder="1"/>
    <xf numFmtId="0" fontId="0" fillId="9" borderId="64" xfId="0" applyFill="1" applyBorder="1"/>
    <xf numFmtId="0" fontId="0" fillId="5" borderId="64" xfId="0" applyFill="1" applyBorder="1"/>
    <xf numFmtId="0" fontId="0" fillId="5" borderId="63" xfId="0" applyFill="1" applyBorder="1"/>
    <xf numFmtId="16" fontId="0" fillId="0" borderId="0" xfId="0" applyNumberFormat="1"/>
    <xf numFmtId="0" fontId="26" fillId="0" borderId="35" xfId="7" applyBorder="1"/>
    <xf numFmtId="0" fontId="26" fillId="0" borderId="9" xfId="7" applyBorder="1"/>
    <xf numFmtId="0" fontId="0" fillId="9" borderId="69" xfId="0" applyFill="1" applyBorder="1"/>
    <xf numFmtId="0" fontId="26" fillId="0" borderId="70" xfId="7" applyBorder="1"/>
    <xf numFmtId="0" fontId="0" fillId="0" borderId="0" xfId="0" applyAlignment="1">
      <alignment vertical="center"/>
    </xf>
    <xf numFmtId="0" fontId="0" fillId="0" borderId="0" xfId="0" applyAlignment="1">
      <alignment horizontal="left" vertical="center" indent="1"/>
    </xf>
    <xf numFmtId="0" fontId="0" fillId="0" borderId="14" xfId="0" applyBorder="1" applyAlignment="1">
      <alignment vertical="center"/>
    </xf>
    <xf numFmtId="0" fontId="0" fillId="14" borderId="9" xfId="0" applyFill="1" applyBorder="1"/>
    <xf numFmtId="0" fontId="26" fillId="0" borderId="81" xfId="7" applyBorder="1"/>
    <xf numFmtId="0" fontId="0" fillId="8" borderId="9" xfId="0" applyFill="1" applyBorder="1"/>
    <xf numFmtId="0" fontId="0" fillId="9" borderId="9" xfId="0" applyFill="1" applyBorder="1"/>
    <xf numFmtId="0" fontId="0" fillId="5" borderId="9" xfId="0" applyFill="1" applyBorder="1"/>
    <xf numFmtId="49" fontId="0" fillId="0" borderId="0" xfId="0" applyNumberFormat="1" applyAlignment="1">
      <alignment horizontal="right"/>
    </xf>
    <xf numFmtId="49" fontId="0" fillId="0" borderId="0" xfId="0" applyNumberFormat="1"/>
    <xf numFmtId="0" fontId="39" fillId="0" borderId="0" xfId="0" applyFont="1"/>
    <xf numFmtId="0" fontId="48" fillId="0" borderId="0" xfId="0" applyFont="1" applyAlignment="1">
      <alignment horizontal="center" vertical="top"/>
    </xf>
    <xf numFmtId="1" fontId="39" fillId="0" borderId="0" xfId="0" applyNumberFormat="1" applyFont="1"/>
    <xf numFmtId="0" fontId="13" fillId="0" borderId="0" xfId="0" applyFont="1"/>
    <xf numFmtId="0" fontId="17" fillId="10" borderId="0" xfId="0" applyFont="1" applyFill="1" applyAlignment="1">
      <alignment vertical="center"/>
    </xf>
    <xf numFmtId="0" fontId="33" fillId="10" borderId="0" xfId="0" applyFont="1" applyFill="1" applyAlignment="1">
      <alignment vertical="center"/>
    </xf>
    <xf numFmtId="0" fontId="49" fillId="0" borderId="0" xfId="0" applyFont="1" applyAlignment="1">
      <alignment horizontal="right"/>
    </xf>
    <xf numFmtId="0" fontId="50" fillId="0" borderId="0" xfId="0" applyFont="1"/>
    <xf numFmtId="0" fontId="51" fillId="0" borderId="0" xfId="0" applyFont="1" applyAlignment="1">
      <alignment vertical="center"/>
    </xf>
    <xf numFmtId="0" fontId="51" fillId="0" borderId="0" xfId="0" applyFont="1"/>
    <xf numFmtId="0" fontId="0" fillId="0" borderId="0" xfId="0" applyAlignment="1">
      <alignment horizontal="left" indent="3"/>
    </xf>
    <xf numFmtId="0" fontId="0" fillId="0" borderId="0" xfId="0" applyAlignment="1">
      <alignment horizontal="left" indent="6"/>
    </xf>
    <xf numFmtId="0" fontId="54" fillId="0" borderId="0" xfId="0" applyFont="1" applyAlignment="1">
      <alignment horizontal="left" vertical="top" indent="6"/>
    </xf>
    <xf numFmtId="0" fontId="39" fillId="8" borderId="38" xfId="0" applyFont="1" applyFill="1" applyBorder="1"/>
    <xf numFmtId="0" fontId="39" fillId="8" borderId="39" xfId="0" applyFont="1" applyFill="1" applyBorder="1"/>
    <xf numFmtId="1" fontId="24" fillId="0" borderId="44" xfId="0" applyNumberFormat="1" applyFont="1" applyBorder="1" applyAlignment="1">
      <alignment horizontal="center"/>
    </xf>
    <xf numFmtId="0" fontId="13" fillId="8" borderId="0" xfId="0" applyFont="1" applyFill="1"/>
    <xf numFmtId="0" fontId="0" fillId="0" borderId="25" xfId="0" applyBorder="1" applyAlignment="1">
      <alignment horizontal="right"/>
    </xf>
    <xf numFmtId="0" fontId="0" fillId="0" borderId="0" xfId="0" applyAlignment="1">
      <alignment horizontal="right" vertical="top"/>
    </xf>
    <xf numFmtId="0" fontId="0" fillId="8" borderId="0" xfId="0" applyFill="1" applyAlignment="1">
      <alignment horizontal="right" vertical="top"/>
    </xf>
    <xf numFmtId="1" fontId="0" fillId="0" borderId="50" xfId="0" applyNumberFormat="1" applyBorder="1" applyAlignment="1">
      <alignment horizontal="center"/>
    </xf>
    <xf numFmtId="1" fontId="0" fillId="8" borderId="50" xfId="0" applyNumberFormat="1" applyFill="1" applyBorder="1" applyAlignment="1">
      <alignment horizontal="center"/>
    </xf>
    <xf numFmtId="1" fontId="0" fillId="0" borderId="40" xfId="0" applyNumberFormat="1" applyBorder="1" applyAlignment="1">
      <alignment horizontal="center"/>
    </xf>
    <xf numFmtId="1" fontId="0" fillId="8" borderId="0" xfId="0" applyNumberFormat="1" applyFill="1" applyAlignment="1">
      <alignment horizontal="center"/>
    </xf>
    <xf numFmtId="1" fontId="55" fillId="0" borderId="0" xfId="0" applyNumberFormat="1" applyFont="1" applyAlignment="1">
      <alignment horizontal="center"/>
    </xf>
    <xf numFmtId="1" fontId="13" fillId="8" borderId="50" xfId="0" applyNumberFormat="1" applyFont="1" applyFill="1" applyBorder="1" applyAlignment="1">
      <alignment horizontal="center"/>
    </xf>
    <xf numFmtId="1" fontId="13" fillId="0" borderId="40" xfId="0" applyNumberFormat="1" applyFont="1" applyBorder="1" applyAlignment="1">
      <alignment horizontal="center"/>
    </xf>
    <xf numFmtId="1" fontId="0" fillId="0" borderId="0" xfId="1" applyNumberFormat="1" applyFont="1"/>
    <xf numFmtId="0" fontId="13" fillId="8" borderId="15" xfId="0" applyFont="1" applyFill="1" applyBorder="1"/>
    <xf numFmtId="0" fontId="19" fillId="13" borderId="96" xfId="0" applyFont="1" applyFill="1" applyBorder="1"/>
    <xf numFmtId="0" fontId="19" fillId="13" borderId="97" xfId="0" applyFont="1" applyFill="1" applyBorder="1" applyAlignment="1">
      <alignment horizontal="center"/>
    </xf>
    <xf numFmtId="0" fontId="19" fillId="13" borderId="98" xfId="0" applyFont="1" applyFill="1" applyBorder="1" applyAlignment="1">
      <alignment horizontal="center"/>
    </xf>
    <xf numFmtId="0" fontId="0" fillId="16" borderId="17" xfId="0" applyFill="1" applyBorder="1"/>
    <xf numFmtId="0" fontId="0" fillId="16" borderId="99" xfId="0" applyFill="1" applyBorder="1" applyAlignment="1">
      <alignment horizontal="center"/>
    </xf>
    <xf numFmtId="0" fontId="0" fillId="16" borderId="97" xfId="0" applyFill="1" applyBorder="1" applyAlignment="1">
      <alignment horizontal="center"/>
    </xf>
    <xf numFmtId="0" fontId="0" fillId="16" borderId="98" xfId="0" applyFill="1" applyBorder="1" applyAlignment="1">
      <alignment horizontal="center"/>
    </xf>
    <xf numFmtId="0" fontId="0" fillId="0" borderId="17" xfId="0" applyBorder="1"/>
    <xf numFmtId="0" fontId="0" fillId="0" borderId="99"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0" fillId="7" borderId="99" xfId="0" applyFill="1" applyBorder="1" applyAlignment="1">
      <alignment horizontal="center"/>
    </xf>
    <xf numFmtId="0" fontId="0" fillId="7" borderId="97" xfId="0" applyFill="1" applyBorder="1" applyAlignment="1">
      <alignment horizontal="center"/>
    </xf>
    <xf numFmtId="0" fontId="0" fillId="7" borderId="98" xfId="0" applyFill="1" applyBorder="1" applyAlignment="1">
      <alignment horizontal="center"/>
    </xf>
    <xf numFmtId="0" fontId="0" fillId="16" borderId="15" xfId="0" applyFill="1" applyBorder="1"/>
    <xf numFmtId="0" fontId="0" fillId="16" borderId="76" xfId="0" applyFill="1" applyBorder="1" applyAlignment="1">
      <alignment horizontal="center"/>
    </xf>
    <xf numFmtId="0" fontId="0" fillId="16" borderId="75" xfId="0" applyFill="1" applyBorder="1" applyAlignment="1">
      <alignment horizontal="center"/>
    </xf>
    <xf numFmtId="0" fontId="0" fillId="7" borderId="100" xfId="0" applyFill="1" applyBorder="1" applyAlignment="1">
      <alignment horizontal="center"/>
    </xf>
    <xf numFmtId="0" fontId="0" fillId="16" borderId="37" xfId="0" applyFill="1" applyBorder="1" applyAlignment="1">
      <alignment horizontal="center"/>
    </xf>
    <xf numFmtId="0" fontId="0" fillId="16" borderId="0" xfId="0" applyFill="1" applyAlignment="1">
      <alignment horizontal="center"/>
    </xf>
    <xf numFmtId="0" fontId="0" fillId="16" borderId="100" xfId="0" applyFill="1" applyBorder="1" applyAlignment="1">
      <alignment horizontal="center"/>
    </xf>
    <xf numFmtId="0" fontId="50" fillId="0" borderId="0" xfId="0" applyFont="1" applyAlignment="1">
      <alignment horizontal="right"/>
    </xf>
    <xf numFmtId="0" fontId="39" fillId="0" borderId="0" xfId="0" applyFont="1" applyAlignment="1">
      <alignment horizontal="right" vertical="center" wrapText="1"/>
    </xf>
    <xf numFmtId="0" fontId="0" fillId="7" borderId="103" xfId="0" applyFill="1" applyBorder="1" applyAlignment="1">
      <alignment horizontal="center"/>
    </xf>
    <xf numFmtId="0" fontId="0" fillId="7" borderId="104" xfId="0" applyFill="1" applyBorder="1" applyAlignment="1">
      <alignment horizontal="center"/>
    </xf>
    <xf numFmtId="0" fontId="0" fillId="7" borderId="108" xfId="0" applyFill="1" applyBorder="1" applyAlignment="1">
      <alignment horizontal="center"/>
    </xf>
    <xf numFmtId="9" fontId="13" fillId="0" borderId="0" xfId="1" applyFont="1"/>
    <xf numFmtId="0" fontId="0" fillId="0" borderId="0" xfId="0" applyAlignment="1">
      <alignment vertical="top" wrapText="1"/>
    </xf>
    <xf numFmtId="15" fontId="0" fillId="0" borderId="0" xfId="0" applyNumberFormat="1"/>
    <xf numFmtId="0" fontId="57" fillId="0" borderId="0" xfId="0" applyFont="1" applyAlignment="1">
      <alignment horizontal="left" vertical="center" wrapText="1" indent="1"/>
    </xf>
    <xf numFmtId="1" fontId="58" fillId="0" borderId="40" xfId="0" applyNumberFormat="1" applyFont="1" applyBorder="1" applyAlignment="1">
      <alignment horizontal="right"/>
    </xf>
    <xf numFmtId="1" fontId="58" fillId="0" borderId="40" xfId="0" applyNumberFormat="1" applyFont="1" applyBorder="1" applyAlignment="1">
      <alignment horizontal="center"/>
    </xf>
    <xf numFmtId="0" fontId="59" fillId="0" borderId="0" xfId="0" applyFont="1" applyAlignment="1">
      <alignment horizontal="left"/>
    </xf>
    <xf numFmtId="0" fontId="1" fillId="0" borderId="39" xfId="0" applyFont="1" applyBorder="1"/>
    <xf numFmtId="0" fontId="1" fillId="0" borderId="0" xfId="0" applyFont="1" applyAlignment="1">
      <alignment horizontal="center" vertical="center"/>
    </xf>
    <xf numFmtId="0" fontId="1" fillId="0" borderId="0" xfId="0" applyFont="1" applyAlignment="1">
      <alignment horizontal="left" vertical="center" wrapText="1"/>
    </xf>
    <xf numFmtId="0" fontId="1" fillId="0" borderId="52" xfId="0" applyFont="1" applyBorder="1" applyAlignment="1">
      <alignment horizontal="left" vertical="center" wrapText="1"/>
    </xf>
    <xf numFmtId="0" fontId="1" fillId="0" borderId="37" xfId="0" quotePrefix="1" applyFont="1" applyBorder="1" applyAlignment="1">
      <alignment horizontal="left" vertical="top"/>
    </xf>
    <xf numFmtId="0" fontId="1" fillId="0" borderId="53" xfId="0" quotePrefix="1" applyFont="1" applyBorder="1" applyAlignment="1">
      <alignment horizontal="left" vertical="top"/>
    </xf>
    <xf numFmtId="0" fontId="1" fillId="10" borderId="0" xfId="0" applyFont="1" applyFill="1" applyAlignment="1">
      <alignment vertical="center"/>
    </xf>
    <xf numFmtId="0" fontId="1" fillId="0" borderId="0" xfId="0" applyFont="1"/>
    <xf numFmtId="1" fontId="1" fillId="0" borderId="43" xfId="0" applyNumberFormat="1" applyFont="1" applyBorder="1" applyAlignment="1">
      <alignment horizontal="center"/>
    </xf>
    <xf numFmtId="1" fontId="1" fillId="0" borderId="44" xfId="0" applyNumberFormat="1" applyFont="1" applyBorder="1" applyAlignment="1">
      <alignment horizontal="center"/>
    </xf>
    <xf numFmtId="0" fontId="1" fillId="10" borderId="0" xfId="0" applyFont="1" applyFill="1"/>
    <xf numFmtId="0" fontId="0" fillId="0" borderId="0" xfId="0" applyProtection="1">
      <protection locked="0"/>
    </xf>
    <xf numFmtId="0" fontId="61" fillId="0" borderId="0" xfId="0" applyFont="1"/>
    <xf numFmtId="0" fontId="64" fillId="0" borderId="0" xfId="0" applyFont="1" applyAlignment="1">
      <alignment horizontal="right" vertical="center"/>
    </xf>
    <xf numFmtId="0" fontId="2" fillId="14" borderId="14" xfId="7" applyFont="1" applyFill="1" applyBorder="1" applyAlignment="1" applyProtection="1">
      <alignment horizontal="center"/>
    </xf>
    <xf numFmtId="0" fontId="2" fillId="8" borderId="14" xfId="7" applyFont="1" applyFill="1" applyBorder="1" applyAlignment="1" applyProtection="1">
      <alignment horizontal="center"/>
    </xf>
    <xf numFmtId="0" fontId="0" fillId="9" borderId="14" xfId="7" applyFont="1" applyFill="1" applyBorder="1" applyAlignment="1" applyProtection="1">
      <alignment horizontal="center"/>
    </xf>
    <xf numFmtId="0" fontId="0" fillId="14" borderId="14" xfId="7" applyFont="1" applyFill="1" applyBorder="1" applyAlignment="1" applyProtection="1">
      <alignment horizontal="center"/>
    </xf>
    <xf numFmtId="0" fontId="2" fillId="9" borderId="14" xfId="7" applyFont="1" applyFill="1" applyBorder="1" applyAlignment="1" applyProtection="1">
      <alignment horizontal="center"/>
    </xf>
    <xf numFmtId="0" fontId="2" fillId="5" borderId="14" xfId="7" applyFont="1" applyFill="1" applyBorder="1" applyAlignment="1" applyProtection="1">
      <alignment horizontal="center"/>
    </xf>
    <xf numFmtId="0" fontId="13" fillId="5" borderId="14" xfId="7" applyFont="1" applyFill="1" applyBorder="1" applyAlignment="1" applyProtection="1">
      <alignment horizontal="center"/>
    </xf>
    <xf numFmtId="0" fontId="2" fillId="19" borderId="14" xfId="7" applyFont="1" applyFill="1" applyBorder="1" applyAlignment="1" applyProtection="1">
      <alignment horizontal="center"/>
    </xf>
    <xf numFmtId="0" fontId="12" fillId="8" borderId="51" xfId="0" applyFont="1" applyFill="1" applyBorder="1" applyAlignment="1" applyProtection="1">
      <alignment horizontal="center"/>
      <protection locked="0"/>
    </xf>
    <xf numFmtId="0" fontId="25" fillId="0" borderId="0" xfId="0" applyFont="1" applyAlignment="1" applyProtection="1">
      <alignment horizontal="center"/>
      <protection locked="0"/>
    </xf>
    <xf numFmtId="0" fontId="12" fillId="7" borderId="18" xfId="0" applyFont="1" applyFill="1" applyBorder="1" applyAlignment="1" applyProtection="1">
      <alignment horizontal="center"/>
      <protection locked="0"/>
    </xf>
    <xf numFmtId="0" fontId="12" fillId="7" borderId="59" xfId="0" applyFont="1" applyFill="1" applyBorder="1" applyAlignment="1" applyProtection="1">
      <alignment horizontal="center"/>
      <protection locked="0"/>
    </xf>
    <xf numFmtId="0" fontId="12" fillId="7" borderId="78" xfId="0" applyFont="1" applyFill="1" applyBorder="1" applyAlignment="1" applyProtection="1">
      <alignment horizontal="center"/>
      <protection locked="0"/>
    </xf>
    <xf numFmtId="0" fontId="15" fillId="0" borderId="0" xfId="0" applyFont="1" applyAlignment="1" applyProtection="1">
      <alignment horizontal="center"/>
      <protection locked="0"/>
    </xf>
    <xf numFmtId="0" fontId="14" fillId="8" borderId="33" xfId="0" applyFont="1" applyFill="1" applyBorder="1" applyAlignment="1" applyProtection="1">
      <alignment horizontal="left"/>
      <protection locked="0"/>
    </xf>
    <xf numFmtId="0" fontId="14" fillId="0" borderId="25" xfId="0" applyFont="1" applyBorder="1" applyAlignment="1" applyProtection="1">
      <alignment horizontal="center"/>
      <protection locked="0"/>
    </xf>
    <xf numFmtId="0" fontId="14" fillId="0" borderId="26" xfId="0" applyFont="1" applyBorder="1" applyAlignment="1" applyProtection="1">
      <alignment horizontal="center"/>
      <protection locked="0"/>
    </xf>
    <xf numFmtId="0" fontId="14" fillId="8" borderId="26" xfId="0" applyFont="1" applyFill="1" applyBorder="1" applyAlignment="1" applyProtection="1">
      <alignment horizontal="center"/>
      <protection locked="0"/>
    </xf>
    <xf numFmtId="0" fontId="14" fillId="8" borderId="14" xfId="0" applyFont="1" applyFill="1" applyBorder="1" applyAlignment="1" applyProtection="1">
      <alignment horizontal="center"/>
      <protection locked="0"/>
    </xf>
    <xf numFmtId="0" fontId="14" fillId="0" borderId="0" xfId="0" applyFont="1" applyAlignment="1" applyProtection="1">
      <alignment horizontal="center"/>
      <protection locked="0"/>
    </xf>
    <xf numFmtId="0" fontId="16" fillId="12" borderId="25" xfId="0" quotePrefix="1" applyFont="1" applyFill="1" applyBorder="1" applyAlignment="1" applyProtection="1">
      <alignment horizontal="center"/>
      <protection locked="0"/>
    </xf>
    <xf numFmtId="0" fontId="16" fillId="7" borderId="25" xfId="0" quotePrefix="1" applyFont="1" applyFill="1" applyBorder="1" applyAlignment="1" applyProtection="1">
      <alignment horizontal="center"/>
      <protection locked="0"/>
    </xf>
    <xf numFmtId="0" fontId="0" fillId="14" borderId="14" xfId="0" applyFill="1" applyBorder="1" applyProtection="1">
      <protection locked="0"/>
    </xf>
    <xf numFmtId="0" fontId="0" fillId="14" borderId="15" xfId="0" applyFill="1" applyBorder="1" applyAlignment="1" applyProtection="1">
      <alignment horizontal="center"/>
      <protection locked="0"/>
    </xf>
    <xf numFmtId="0" fontId="0" fillId="7" borderId="15" xfId="0" applyFill="1" applyBorder="1" applyAlignment="1" applyProtection="1">
      <alignment horizontal="center"/>
      <protection locked="0"/>
    </xf>
    <xf numFmtId="0" fontId="1" fillId="7" borderId="14" xfId="0" applyFont="1" applyFill="1" applyBorder="1" applyAlignment="1" applyProtection="1">
      <alignment horizontal="center"/>
      <protection locked="0"/>
    </xf>
    <xf numFmtId="0" fontId="1" fillId="0" borderId="0" xfId="0" applyFont="1" applyAlignment="1" applyProtection="1">
      <alignment horizontal="left" indent="1"/>
      <protection locked="0"/>
    </xf>
    <xf numFmtId="0" fontId="0" fillId="8" borderId="14" xfId="0" applyFill="1" applyBorder="1" applyProtection="1">
      <protection locked="0"/>
    </xf>
    <xf numFmtId="0" fontId="0" fillId="8" borderId="14" xfId="0" applyFill="1" applyBorder="1" applyAlignment="1" applyProtection="1">
      <alignment horizontal="center"/>
      <protection locked="0"/>
    </xf>
    <xf numFmtId="0" fontId="0" fillId="9" borderId="14" xfId="0" applyFill="1" applyBorder="1" applyProtection="1">
      <protection locked="0"/>
    </xf>
    <xf numFmtId="0" fontId="0" fillId="9" borderId="14" xfId="0" applyFill="1" applyBorder="1" applyAlignment="1" applyProtection="1">
      <alignment horizontal="center"/>
      <protection locked="0"/>
    </xf>
    <xf numFmtId="0" fontId="0" fillId="5" borderId="14" xfId="0" applyFill="1" applyBorder="1" applyProtection="1">
      <protection locked="0"/>
    </xf>
    <xf numFmtId="0" fontId="0" fillId="5" borderId="14" xfId="0" applyFill="1" applyBorder="1" applyAlignment="1" applyProtection="1">
      <alignment horizontal="center"/>
      <protection locked="0"/>
    </xf>
    <xf numFmtId="0" fontId="16" fillId="7" borderId="33" xfId="0" quotePrefix="1" applyFont="1" applyFill="1" applyBorder="1" applyAlignment="1" applyProtection="1">
      <alignment horizontal="center"/>
      <protection locked="0"/>
    </xf>
    <xf numFmtId="0" fontId="0" fillId="14" borderId="14" xfId="0" applyFill="1" applyBorder="1" applyAlignment="1" applyProtection="1">
      <alignment horizontal="left"/>
      <protection locked="0"/>
    </xf>
    <xf numFmtId="0" fontId="0" fillId="8" borderId="14" xfId="0" applyFill="1" applyBorder="1" applyAlignment="1" applyProtection="1">
      <alignment horizontal="left"/>
      <protection locked="0"/>
    </xf>
    <xf numFmtId="0" fontId="0" fillId="0" borderId="0" xfId="0" applyAlignment="1" applyProtection="1">
      <alignment horizontal="left" indent="1"/>
      <protection locked="0"/>
    </xf>
    <xf numFmtId="0" fontId="0" fillId="7" borderId="0" xfId="0" applyFill="1" applyAlignment="1" applyProtection="1">
      <alignment horizontal="center"/>
      <protection locked="0"/>
    </xf>
    <xf numFmtId="0" fontId="0" fillId="9" borderId="14" xfId="0" applyFill="1" applyBorder="1" applyAlignment="1" applyProtection="1">
      <alignment horizontal="left"/>
      <protection locked="0"/>
    </xf>
    <xf numFmtId="0" fontId="0" fillId="7" borderId="17" xfId="0" applyFill="1" applyBorder="1" applyAlignment="1" applyProtection="1">
      <alignment horizontal="center"/>
      <protection locked="0"/>
    </xf>
    <xf numFmtId="0" fontId="1" fillId="7" borderId="16" xfId="0" applyFont="1" applyFill="1" applyBorder="1" applyAlignment="1" applyProtection="1">
      <alignment horizontal="center"/>
      <protection locked="0"/>
    </xf>
    <xf numFmtId="0" fontId="16" fillId="7" borderId="40" xfId="0" quotePrefix="1" applyFont="1" applyFill="1" applyBorder="1" applyAlignment="1" applyProtection="1">
      <alignment horizontal="center"/>
      <protection locked="0"/>
    </xf>
    <xf numFmtId="0" fontId="0" fillId="5" borderId="14" xfId="0" applyFill="1" applyBorder="1" applyAlignment="1" applyProtection="1">
      <alignment horizontal="left"/>
      <protection locked="0"/>
    </xf>
    <xf numFmtId="0" fontId="16" fillId="12" borderId="28" xfId="0" quotePrefix="1" applyFont="1" applyFill="1" applyBorder="1" applyAlignment="1" applyProtection="1">
      <alignment horizontal="center"/>
      <protection locked="0"/>
    </xf>
    <xf numFmtId="0" fontId="15" fillId="8" borderId="46" xfId="0" applyFont="1" applyFill="1" applyBorder="1" applyAlignment="1" applyProtection="1">
      <alignment horizontal="right"/>
      <protection locked="0"/>
    </xf>
    <xf numFmtId="0" fontId="0" fillId="8" borderId="47" xfId="0" applyFill="1" applyBorder="1" applyProtection="1">
      <protection locked="0"/>
    </xf>
    <xf numFmtId="0" fontId="15" fillId="8" borderId="47" xfId="0" applyFont="1" applyFill="1" applyBorder="1" applyAlignment="1" applyProtection="1">
      <alignment horizontal="right"/>
      <protection locked="0"/>
    </xf>
    <xf numFmtId="0" fontId="15" fillId="8" borderId="47" xfId="0" quotePrefix="1" applyFont="1" applyFill="1" applyBorder="1" applyAlignment="1" applyProtection="1">
      <alignment horizontal="right"/>
      <protection locked="0"/>
    </xf>
    <xf numFmtId="0" fontId="15" fillId="8" borderId="86" xfId="0" quotePrefix="1" applyFont="1" applyFill="1" applyBorder="1" applyAlignment="1" applyProtection="1">
      <alignment horizontal="right"/>
      <protection locked="0"/>
    </xf>
    <xf numFmtId="0" fontId="0" fillId="14" borderId="21" xfId="0" applyFill="1" applyBorder="1" applyProtection="1">
      <protection locked="0"/>
    </xf>
    <xf numFmtId="0" fontId="14" fillId="14" borderId="22" xfId="0" applyFont="1" applyFill="1" applyBorder="1" applyAlignment="1" applyProtection="1">
      <alignment horizontal="center"/>
      <protection locked="0"/>
    </xf>
    <xf numFmtId="0" fontId="0" fillId="14" borderId="22" xfId="0" applyFill="1" applyBorder="1" applyAlignment="1" applyProtection="1">
      <alignment horizontal="center"/>
      <protection locked="0"/>
    </xf>
    <xf numFmtId="0" fontId="0" fillId="14" borderId="22" xfId="0" applyFill="1" applyBorder="1" applyProtection="1">
      <protection locked="0"/>
    </xf>
    <xf numFmtId="0" fontId="14" fillId="14" borderId="87" xfId="0" applyFont="1" applyFill="1" applyBorder="1" applyAlignment="1" applyProtection="1">
      <alignment horizontal="right"/>
      <protection locked="0"/>
    </xf>
    <xf numFmtId="0" fontId="14" fillId="14" borderId="23" xfId="0" applyFont="1" applyFill="1" applyBorder="1" applyAlignment="1" applyProtection="1">
      <alignment horizontal="right"/>
      <protection locked="0"/>
    </xf>
    <xf numFmtId="0" fontId="0" fillId="14" borderId="0" xfId="0" applyFill="1" applyProtection="1">
      <protection locked="0"/>
    </xf>
    <xf numFmtId="166" fontId="0" fillId="14" borderId="52" xfId="0" applyNumberFormat="1" applyFill="1" applyBorder="1" applyProtection="1">
      <protection locked="0"/>
    </xf>
    <xf numFmtId="0" fontId="0" fillId="14" borderId="0" xfId="0" applyFill="1" applyAlignment="1" applyProtection="1">
      <alignment horizontal="left"/>
      <protection locked="0"/>
    </xf>
    <xf numFmtId="0" fontId="0" fillId="14" borderId="52" xfId="0" applyFill="1" applyBorder="1" applyAlignment="1" applyProtection="1">
      <alignment horizontal="left"/>
      <protection locked="0"/>
    </xf>
    <xf numFmtId="0" fontId="0" fillId="0" borderId="0" xfId="0" applyAlignment="1" applyProtection="1">
      <alignment horizontal="left"/>
      <protection locked="0"/>
    </xf>
    <xf numFmtId="0" fontId="14" fillId="14" borderId="88" xfId="0" applyFont="1" applyFill="1" applyBorder="1" applyAlignment="1" applyProtection="1">
      <alignment horizontal="right"/>
      <protection locked="0"/>
    </xf>
    <xf numFmtId="0" fontId="10" fillId="0" borderId="0" xfId="0" applyFont="1" applyProtection="1">
      <protection locked="0"/>
    </xf>
    <xf numFmtId="0" fontId="14" fillId="14" borderId="53" xfId="0" applyFont="1" applyFill="1" applyBorder="1" applyAlignment="1" applyProtection="1">
      <alignment horizontal="right"/>
      <protection locked="0"/>
    </xf>
    <xf numFmtId="0" fontId="0" fillId="14" borderId="54" xfId="0" applyFill="1" applyBorder="1" applyProtection="1">
      <protection locked="0"/>
    </xf>
    <xf numFmtId="0" fontId="0" fillId="14" borderId="55" xfId="0" applyFill="1" applyBorder="1" applyProtection="1">
      <protection locked="0"/>
    </xf>
    <xf numFmtId="1" fontId="0" fillId="0" borderId="0" xfId="0" applyNumberFormat="1" applyProtection="1">
      <protection locked="0"/>
    </xf>
    <xf numFmtId="0" fontId="39" fillId="0" borderId="0" xfId="0" applyFont="1" applyProtection="1">
      <protection locked="0"/>
    </xf>
    <xf numFmtId="0" fontId="0" fillId="5" borderId="16" xfId="0" applyFill="1" applyBorder="1" applyProtection="1">
      <protection locked="0"/>
    </xf>
    <xf numFmtId="0" fontId="33" fillId="0" borderId="0" xfId="0" applyFont="1" applyAlignment="1" applyProtection="1">
      <alignment horizontal="center" vertical="center"/>
      <protection locked="0"/>
    </xf>
    <xf numFmtId="0" fontId="0" fillId="0" borderId="0" xfId="0" applyAlignment="1" applyProtection="1">
      <alignment horizontal="center"/>
      <protection locked="0"/>
    </xf>
    <xf numFmtId="0" fontId="47" fillId="7" borderId="14" xfId="0" applyFont="1" applyFill="1" applyBorder="1" applyAlignment="1" applyProtection="1">
      <alignment horizontal="center"/>
      <protection locked="0"/>
    </xf>
    <xf numFmtId="0" fontId="39" fillId="0" borderId="0" xfId="0" applyFont="1" applyAlignment="1" applyProtection="1">
      <alignment horizontal="left" vertical="top" wrapText="1"/>
      <protection locked="0"/>
    </xf>
    <xf numFmtId="0" fontId="0" fillId="8" borderId="15" xfId="0" applyFill="1" applyBorder="1" applyAlignment="1" applyProtection="1">
      <alignment horizontal="center"/>
      <protection locked="0"/>
    </xf>
    <xf numFmtId="0" fontId="1" fillId="7" borderId="58" xfId="0" applyFont="1" applyFill="1" applyBorder="1" applyAlignment="1" applyProtection="1">
      <alignment horizontal="center"/>
      <protection locked="0"/>
    </xf>
    <xf numFmtId="0" fontId="0" fillId="9" borderId="15" xfId="0" quotePrefix="1" applyFill="1" applyBorder="1" applyAlignment="1" applyProtection="1">
      <alignment horizontal="center"/>
      <protection locked="0"/>
    </xf>
    <xf numFmtId="0" fontId="0" fillId="9" borderId="15" xfId="0" applyFill="1" applyBorder="1" applyAlignment="1" applyProtection="1">
      <alignment horizontal="center"/>
      <protection locked="0"/>
    </xf>
    <xf numFmtId="0" fontId="26" fillId="0" borderId="0" xfId="7" applyFill="1" applyBorder="1" applyAlignment="1" applyProtection="1">
      <protection locked="0"/>
    </xf>
    <xf numFmtId="0" fontId="65" fillId="0" borderId="0" xfId="7" applyFont="1"/>
    <xf numFmtId="0" fontId="7" fillId="0" borderId="0" xfId="0" applyFont="1" applyAlignment="1">
      <alignment horizontal="center" vertical="center"/>
    </xf>
    <xf numFmtId="0" fontId="32" fillId="0" borderId="0" xfId="0" applyFont="1" applyProtection="1">
      <protection locked="0"/>
    </xf>
    <xf numFmtId="0" fontId="14" fillId="8" borderId="27" xfId="0" applyFont="1" applyFill="1" applyBorder="1" applyAlignment="1" applyProtection="1">
      <alignment horizontal="center"/>
      <protection locked="0"/>
    </xf>
    <xf numFmtId="0" fontId="14" fillId="8" borderId="34" xfId="0" applyFont="1" applyFill="1" applyBorder="1" applyAlignment="1" applyProtection="1">
      <alignment horizontal="center"/>
      <protection locked="0"/>
    </xf>
    <xf numFmtId="0" fontId="1" fillId="14" borderId="34" xfId="0" applyFont="1" applyFill="1" applyBorder="1" applyAlignment="1" applyProtection="1">
      <alignment horizontal="left" indent="1"/>
      <protection locked="0"/>
    </xf>
    <xf numFmtId="0" fontId="1" fillId="14" borderId="36" xfId="0" applyFont="1" applyFill="1" applyBorder="1" applyAlignment="1" applyProtection="1">
      <alignment horizontal="left" indent="1"/>
      <protection locked="0"/>
    </xf>
    <xf numFmtId="0" fontId="0" fillId="14" borderId="36" xfId="0" applyFill="1" applyBorder="1" applyProtection="1">
      <protection locked="0"/>
    </xf>
    <xf numFmtId="0" fontId="0" fillId="0" borderId="62" xfId="0" applyBorder="1" applyAlignment="1" applyProtection="1">
      <alignment horizontal="center"/>
      <protection locked="0"/>
    </xf>
    <xf numFmtId="0" fontId="0" fillId="0" borderId="0" xfId="0" quotePrefix="1" applyProtection="1">
      <protection locked="0"/>
    </xf>
    <xf numFmtId="0" fontId="0" fillId="0" borderId="20" xfId="0" applyBorder="1" applyProtection="1">
      <protection locked="0"/>
    </xf>
    <xf numFmtId="0" fontId="0" fillId="0" borderId="57" xfId="0" applyBorder="1" applyAlignment="1" applyProtection="1">
      <alignment horizontal="center"/>
      <protection locked="0"/>
    </xf>
    <xf numFmtId="0" fontId="0" fillId="0" borderId="52" xfId="0" applyBorder="1" applyProtection="1">
      <protection locked="0"/>
    </xf>
    <xf numFmtId="0" fontId="0" fillId="0" borderId="77" xfId="0" quotePrefix="1" applyBorder="1" applyProtection="1">
      <protection locked="0"/>
    </xf>
    <xf numFmtId="0" fontId="0" fillId="0" borderId="55" xfId="0" applyBorder="1" applyProtection="1">
      <protection locked="0"/>
    </xf>
    <xf numFmtId="0" fontId="10" fillId="10" borderId="0" xfId="0" applyFont="1" applyFill="1" applyProtection="1">
      <protection locked="0"/>
    </xf>
    <xf numFmtId="0" fontId="10" fillId="10" borderId="0" xfId="0" quotePrefix="1" applyFont="1" applyFill="1" applyProtection="1">
      <protection locked="0"/>
    </xf>
    <xf numFmtId="0" fontId="0" fillId="10" borderId="0" xfId="0" applyFill="1" applyProtection="1">
      <protection locked="0"/>
    </xf>
    <xf numFmtId="0" fontId="0" fillId="14" borderId="36" xfId="0" applyFill="1" applyBorder="1" applyAlignment="1" applyProtection="1">
      <alignment horizontal="left" indent="1"/>
      <protection locked="0"/>
    </xf>
    <xf numFmtId="0" fontId="14" fillId="14" borderId="36" xfId="0" applyFont="1" applyFill="1" applyBorder="1" applyAlignment="1" applyProtection="1">
      <alignment horizontal="center"/>
      <protection locked="0"/>
    </xf>
    <xf numFmtId="0" fontId="0" fillId="14" borderId="73" xfId="0" applyFill="1" applyBorder="1" applyProtection="1">
      <protection locked="0"/>
    </xf>
    <xf numFmtId="165" fontId="0" fillId="0" borderId="0" xfId="0" applyNumberFormat="1" applyProtection="1">
      <protection locked="0"/>
    </xf>
    <xf numFmtId="0" fontId="15" fillId="0" borderId="0" xfId="0" applyFont="1" applyProtection="1">
      <protection locked="0"/>
    </xf>
    <xf numFmtId="0" fontId="0" fillId="8" borderId="25" xfId="0" applyFill="1" applyBorder="1" applyProtection="1">
      <protection locked="0"/>
    </xf>
    <xf numFmtId="0" fontId="0" fillId="8" borderId="48" xfId="0" applyFill="1" applyBorder="1" applyProtection="1">
      <protection locked="0"/>
    </xf>
    <xf numFmtId="0" fontId="0" fillId="8" borderId="94" xfId="0" applyFill="1" applyBorder="1" applyProtection="1">
      <protection locked="0"/>
    </xf>
    <xf numFmtId="0" fontId="0" fillId="8" borderId="34" xfId="0" applyFill="1" applyBorder="1" applyAlignment="1" applyProtection="1">
      <alignment horizontal="center" vertical="top"/>
      <protection locked="0"/>
    </xf>
    <xf numFmtId="0" fontId="19" fillId="13" borderId="67" xfId="0" applyFont="1" applyFill="1" applyBorder="1" applyAlignment="1" applyProtection="1">
      <alignment horizontal="center" vertical="center"/>
      <protection locked="0"/>
    </xf>
    <xf numFmtId="0" fontId="19" fillId="13" borderId="68" xfId="0" applyFont="1" applyFill="1" applyBorder="1" applyAlignment="1" applyProtection="1">
      <alignment horizontal="center" vertical="center"/>
      <protection locked="0"/>
    </xf>
    <xf numFmtId="0" fontId="19" fillId="13" borderId="68" xfId="0" applyFont="1" applyFill="1" applyBorder="1" applyAlignment="1" applyProtection="1">
      <alignment horizontal="center" vertical="center" wrapText="1"/>
      <protection locked="0"/>
    </xf>
    <xf numFmtId="0" fontId="0" fillId="19" borderId="25" xfId="0" applyFill="1" applyBorder="1" applyProtection="1">
      <protection locked="0"/>
    </xf>
    <xf numFmtId="0" fontId="0" fillId="19" borderId="95" xfId="0" applyFill="1" applyBorder="1" applyProtection="1">
      <protection locked="0"/>
    </xf>
    <xf numFmtId="0" fontId="0" fillId="19" borderId="14" xfId="0" applyFill="1" applyBorder="1" applyAlignment="1" applyProtection="1">
      <alignment horizontal="center"/>
      <protection locked="0"/>
    </xf>
    <xf numFmtId="0" fontId="19" fillId="20" borderId="15" xfId="0" applyFont="1" applyFill="1" applyBorder="1" applyAlignment="1" applyProtection="1">
      <alignment horizontal="center" vertical="center"/>
      <protection locked="0"/>
    </xf>
    <xf numFmtId="0" fontId="19" fillId="20" borderId="38" xfId="0" applyFont="1" applyFill="1" applyBorder="1" applyAlignment="1" applyProtection="1">
      <alignment horizontal="center" vertical="center"/>
      <protection locked="0"/>
    </xf>
    <xf numFmtId="0" fontId="19" fillId="20" borderId="39" xfId="0" applyFont="1" applyFill="1" applyBorder="1" applyAlignment="1" applyProtection="1">
      <alignment horizontal="center" vertical="center" wrapText="1"/>
      <protection locked="0"/>
    </xf>
    <xf numFmtId="0" fontId="16" fillId="19" borderId="40" xfId="0" quotePrefix="1" applyFont="1" applyFill="1" applyBorder="1" applyAlignment="1" applyProtection="1">
      <alignment horizontal="center"/>
      <protection locked="0"/>
    </xf>
    <xf numFmtId="0" fontId="16" fillId="19" borderId="95" xfId="0" quotePrefix="1" applyFont="1" applyFill="1" applyBorder="1" applyAlignment="1" applyProtection="1">
      <alignment horizontal="center"/>
      <protection locked="0"/>
    </xf>
    <xf numFmtId="0" fontId="12" fillId="19" borderId="18" xfId="0" applyFont="1" applyFill="1" applyBorder="1" applyAlignment="1" applyProtection="1">
      <alignment horizontal="center"/>
      <protection locked="0"/>
    </xf>
    <xf numFmtId="0" fontId="0" fillId="14" borderId="0" xfId="0" applyFill="1" applyAlignment="1" applyProtection="1">
      <alignment horizontal="center"/>
      <protection locked="0"/>
    </xf>
    <xf numFmtId="0" fontId="0" fillId="14" borderId="18" xfId="0" applyFill="1" applyBorder="1" applyProtection="1">
      <protection locked="0"/>
    </xf>
    <xf numFmtId="0" fontId="0" fillId="14" borderId="18" xfId="0" applyFill="1" applyBorder="1" applyAlignment="1" applyProtection="1">
      <alignment horizontal="center"/>
      <protection locked="0"/>
    </xf>
    <xf numFmtId="0" fontId="0" fillId="8" borderId="0" xfId="0" applyFill="1" applyProtection="1">
      <protection locked="0"/>
    </xf>
    <xf numFmtId="0" fontId="0" fillId="8" borderId="0" xfId="0" applyFill="1" applyAlignment="1" applyProtection="1">
      <alignment horizontal="center"/>
      <protection locked="0"/>
    </xf>
    <xf numFmtId="0" fontId="0" fillId="8" borderId="18" xfId="0" applyFill="1" applyBorder="1" applyProtection="1">
      <protection locked="0"/>
    </xf>
    <xf numFmtId="0" fontId="0" fillId="8" borderId="18" xfId="0" applyFill="1" applyBorder="1" applyAlignment="1" applyProtection="1">
      <alignment horizontal="center"/>
      <protection locked="0"/>
    </xf>
    <xf numFmtId="0" fontId="0" fillId="9" borderId="0" xfId="0" applyFill="1" applyAlignment="1" applyProtection="1">
      <alignment horizontal="center"/>
      <protection locked="0"/>
    </xf>
    <xf numFmtId="0" fontId="0" fillId="9" borderId="18" xfId="0" applyFill="1" applyBorder="1" applyProtection="1">
      <protection locked="0"/>
    </xf>
    <xf numFmtId="0" fontId="0" fillId="9" borderId="18" xfId="0" applyFill="1" applyBorder="1" applyAlignment="1" applyProtection="1">
      <alignment horizontal="center"/>
      <protection locked="0"/>
    </xf>
    <xf numFmtId="0" fontId="27" fillId="19" borderId="66" xfId="0" quotePrefix="1" applyFont="1" applyFill="1" applyBorder="1" applyAlignment="1" applyProtection="1">
      <alignment horizontal="center"/>
      <protection locked="0"/>
    </xf>
    <xf numFmtId="0" fontId="27" fillId="19" borderId="18" xfId="0" quotePrefix="1" applyFont="1" applyFill="1" applyBorder="1" applyAlignment="1" applyProtection="1">
      <alignment horizontal="center"/>
      <protection locked="0"/>
    </xf>
    <xf numFmtId="0" fontId="0" fillId="9" borderId="35" xfId="0" applyFill="1" applyBorder="1" applyProtection="1">
      <protection locked="0"/>
    </xf>
    <xf numFmtId="0" fontId="0" fillId="5" borderId="0" xfId="0" applyFill="1" applyAlignment="1" applyProtection="1">
      <alignment horizontal="center"/>
      <protection locked="0"/>
    </xf>
    <xf numFmtId="0" fontId="0" fillId="0" borderId="0" xfId="0" applyAlignment="1" applyProtection="1">
      <alignment horizontal="right"/>
      <protection locked="0"/>
    </xf>
    <xf numFmtId="0" fontId="27" fillId="19" borderId="59" xfId="0" quotePrefix="1" applyFont="1" applyFill="1" applyBorder="1" applyAlignment="1" applyProtection="1">
      <alignment horizontal="center"/>
      <protection locked="0"/>
    </xf>
    <xf numFmtId="0" fontId="0" fillId="8" borderId="35" xfId="0" applyFill="1" applyBorder="1" applyProtection="1">
      <protection locked="0"/>
    </xf>
    <xf numFmtId="0" fontId="0" fillId="0" borderId="0" xfId="0" applyAlignment="1" applyProtection="1">
      <alignment wrapText="1"/>
      <protection locked="0"/>
    </xf>
    <xf numFmtId="0" fontId="7" fillId="8" borderId="14" xfId="0" applyFont="1" applyFill="1" applyBorder="1" applyAlignment="1" applyProtection="1">
      <alignment horizontal="center"/>
      <protection locked="0"/>
    </xf>
    <xf numFmtId="0" fontId="41" fillId="9" borderId="15" xfId="0" applyFont="1" applyFill="1" applyBorder="1" applyProtection="1">
      <protection locked="0"/>
    </xf>
    <xf numFmtId="0" fontId="0" fillId="9" borderId="38" xfId="0" applyFill="1" applyBorder="1" applyAlignment="1" applyProtection="1">
      <alignment horizontal="center"/>
      <protection locked="0"/>
    </xf>
    <xf numFmtId="0" fontId="0" fillId="9" borderId="39" xfId="0" applyFill="1" applyBorder="1" applyAlignment="1" applyProtection="1">
      <alignment horizontal="center"/>
      <protection locked="0"/>
    </xf>
    <xf numFmtId="0" fontId="0" fillId="0" borderId="0" xfId="0" applyAlignment="1" applyProtection="1">
      <alignment horizontal="right" wrapText="1"/>
      <protection locked="0"/>
    </xf>
    <xf numFmtId="0" fontId="12" fillId="19" borderId="0" xfId="0" applyFont="1" applyFill="1" applyAlignment="1" applyProtection="1">
      <alignment horizontal="center"/>
      <protection locked="0"/>
    </xf>
    <xf numFmtId="0" fontId="13" fillId="0" borderId="0" xfId="0" applyFont="1" applyAlignment="1" applyProtection="1">
      <alignment horizontal="left"/>
      <protection locked="0"/>
    </xf>
    <xf numFmtId="0" fontId="12" fillId="0" borderId="0" xfId="0" applyFont="1" applyAlignment="1" applyProtection="1">
      <alignment horizontal="center"/>
      <protection locked="0"/>
    </xf>
    <xf numFmtId="0" fontId="0" fillId="19" borderId="40" xfId="0" applyFill="1" applyBorder="1" applyAlignment="1" applyProtection="1">
      <alignment horizontal="center"/>
      <protection locked="0"/>
    </xf>
    <xf numFmtId="0" fontId="0" fillId="19" borderId="0" xfId="0" applyFill="1" applyAlignment="1" applyProtection="1">
      <alignment horizontal="center"/>
      <protection locked="0"/>
    </xf>
    <xf numFmtId="0" fontId="0" fillId="8" borderId="38" xfId="0" applyFill="1" applyBorder="1" applyProtection="1">
      <protection locked="0"/>
    </xf>
    <xf numFmtId="0" fontId="0" fillId="8" borderId="39" xfId="0" applyFill="1" applyBorder="1" applyProtection="1">
      <protection locked="0"/>
    </xf>
    <xf numFmtId="0" fontId="42" fillId="0" borderId="0" xfId="0" applyFont="1" applyAlignment="1" applyProtection="1">
      <alignment wrapText="1"/>
      <protection locked="0"/>
    </xf>
    <xf numFmtId="0" fontId="1" fillId="0" borderId="0" xfId="0" applyFont="1" applyAlignment="1" applyProtection="1">
      <alignment horizontal="center"/>
      <protection locked="0"/>
    </xf>
    <xf numFmtId="0" fontId="13" fillId="12" borderId="0" xfId="0" applyFont="1" applyFill="1" applyProtection="1">
      <protection locked="0"/>
    </xf>
    <xf numFmtId="0" fontId="43" fillId="0" borderId="0" xfId="0" applyFont="1" applyAlignment="1" applyProtection="1">
      <alignment wrapText="1"/>
      <protection locked="0"/>
    </xf>
    <xf numFmtId="0" fontId="44" fillId="0" borderId="0" xfId="0" applyFont="1" applyAlignment="1" applyProtection="1">
      <alignment horizontal="center"/>
      <protection locked="0"/>
    </xf>
    <xf numFmtId="0" fontId="12" fillId="14" borderId="14" xfId="0" applyFont="1" applyFill="1" applyBorder="1" applyAlignment="1">
      <alignment horizontal="center"/>
    </xf>
    <xf numFmtId="1" fontId="1" fillId="14" borderId="44" xfId="0" applyNumberFormat="1" applyFont="1" applyFill="1" applyBorder="1" applyAlignment="1">
      <alignment horizontal="center"/>
    </xf>
    <xf numFmtId="1" fontId="1" fillId="14" borderId="85" xfId="0" applyNumberFormat="1" applyFont="1" applyFill="1" applyBorder="1" applyAlignment="1">
      <alignment horizontal="center"/>
    </xf>
    <xf numFmtId="1" fontId="1" fillId="14" borderId="14" xfId="0" applyNumberFormat="1" applyFont="1" applyFill="1" applyBorder="1" applyAlignment="1">
      <alignment horizontal="center"/>
    </xf>
    <xf numFmtId="1" fontId="1" fillId="14" borderId="56" xfId="0" applyNumberFormat="1" applyFont="1" applyFill="1" applyBorder="1" applyAlignment="1">
      <alignment horizontal="center"/>
    </xf>
    <xf numFmtId="0" fontId="0" fillId="14" borderId="14" xfId="0" applyFill="1" applyBorder="1" applyAlignment="1">
      <alignment horizontal="center"/>
    </xf>
    <xf numFmtId="0" fontId="0" fillId="8" borderId="14" xfId="0" applyFill="1" applyBorder="1" applyAlignment="1">
      <alignment horizontal="center"/>
    </xf>
    <xf numFmtId="0" fontId="0" fillId="9" borderId="14" xfId="0" applyFill="1" applyBorder="1" applyAlignment="1">
      <alignment horizontal="center"/>
    </xf>
    <xf numFmtId="0" fontId="0" fillId="5" borderId="14" xfId="0" applyFill="1" applyBorder="1" applyAlignment="1">
      <alignment horizontal="center"/>
    </xf>
    <xf numFmtId="0" fontId="21" fillId="8" borderId="47" xfId="0" quotePrefix="1" applyFont="1" applyFill="1" applyBorder="1" applyAlignment="1">
      <alignment horizontal="left"/>
    </xf>
    <xf numFmtId="1" fontId="0" fillId="14" borderId="56" xfId="0" applyNumberFormat="1" applyFill="1" applyBorder="1" applyAlignment="1">
      <alignment horizontal="right"/>
    </xf>
    <xf numFmtId="0" fontId="0" fillId="14" borderId="56" xfId="0" applyFill="1" applyBorder="1"/>
    <xf numFmtId="0" fontId="0" fillId="14" borderId="89" xfId="0" applyFill="1" applyBorder="1"/>
    <xf numFmtId="0" fontId="0" fillId="14" borderId="14" xfId="0" applyFill="1" applyBorder="1"/>
    <xf numFmtId="1" fontId="13" fillId="14" borderId="56" xfId="0" applyNumberFormat="1" applyFont="1" applyFill="1" applyBorder="1" applyAlignment="1">
      <alignment horizontal="right"/>
    </xf>
    <xf numFmtId="0" fontId="0" fillId="14" borderId="15" xfId="0" applyFill="1" applyBorder="1" applyAlignment="1">
      <alignment horizontal="center"/>
    </xf>
    <xf numFmtId="0" fontId="0" fillId="8" borderId="15" xfId="0" applyFill="1" applyBorder="1" applyAlignment="1">
      <alignment horizontal="center"/>
    </xf>
    <xf numFmtId="0" fontId="0" fillId="9" borderId="14" xfId="0" quotePrefix="1" applyFill="1" applyBorder="1" applyAlignment="1">
      <alignment horizontal="center"/>
    </xf>
    <xf numFmtId="0" fontId="0" fillId="9" borderId="15" xfId="0" quotePrefix="1" applyFill="1" applyBorder="1" applyAlignment="1">
      <alignment horizontal="center"/>
    </xf>
    <xf numFmtId="0" fontId="16" fillId="7" borderId="25" xfId="0" quotePrefix="1" applyFont="1" applyFill="1" applyBorder="1" applyAlignment="1">
      <alignment horizontal="center"/>
    </xf>
    <xf numFmtId="0" fontId="12" fillId="19" borderId="18" xfId="0" applyFont="1" applyFill="1" applyBorder="1" applyAlignment="1">
      <alignment horizontal="center"/>
    </xf>
    <xf numFmtId="0" fontId="0" fillId="14" borderId="0" xfId="0" applyFill="1" applyAlignment="1">
      <alignment horizontal="center"/>
    </xf>
    <xf numFmtId="0" fontId="0" fillId="19" borderId="14" xfId="0" applyFill="1" applyBorder="1" applyAlignment="1">
      <alignment horizontal="center"/>
    </xf>
    <xf numFmtId="0" fontId="0" fillId="8" borderId="0" xfId="0" applyFill="1" applyAlignment="1">
      <alignment horizontal="center"/>
    </xf>
    <xf numFmtId="0" fontId="0" fillId="9" borderId="0" xfId="0" applyFill="1"/>
    <xf numFmtId="0" fontId="0" fillId="9" borderId="0" xfId="0" applyFill="1" applyAlignment="1">
      <alignment horizontal="center"/>
    </xf>
    <xf numFmtId="0" fontId="0" fillId="9" borderId="35" xfId="0" applyFill="1" applyBorder="1"/>
    <xf numFmtId="0" fontId="0" fillId="5" borderId="35" xfId="0" applyFill="1" applyBorder="1"/>
    <xf numFmtId="0" fontId="0" fillId="5" borderId="0" xfId="0" applyFill="1" applyAlignment="1">
      <alignment horizontal="center"/>
    </xf>
    <xf numFmtId="0" fontId="0" fillId="8" borderId="35" xfId="0" applyFill="1" applyBorder="1"/>
    <xf numFmtId="0" fontId="0" fillId="19" borderId="14" xfId="0" applyFill="1" applyBorder="1" applyAlignment="1">
      <alignment horizontal="center" vertical="top"/>
    </xf>
    <xf numFmtId="0" fontId="7" fillId="9" borderId="38" xfId="0" applyFont="1" applyFill="1" applyBorder="1" applyAlignment="1">
      <alignment horizontal="center"/>
    </xf>
    <xf numFmtId="0" fontId="0" fillId="0" borderId="14" xfId="0" applyBorder="1" applyAlignment="1">
      <alignment horizontal="center"/>
    </xf>
    <xf numFmtId="0" fontId="13" fillId="0" borderId="0" xfId="0" applyFont="1" applyAlignment="1">
      <alignment horizontal="center" vertical="top"/>
    </xf>
    <xf numFmtId="0" fontId="18" fillId="0" borderId="0" xfId="0" applyFont="1" applyProtection="1">
      <protection locked="0"/>
    </xf>
    <xf numFmtId="0" fontId="7" fillId="0" borderId="0" xfId="0" applyFont="1" applyProtection="1">
      <protection locked="0"/>
    </xf>
    <xf numFmtId="0" fontId="23" fillId="7" borderId="83" xfId="0" applyFont="1" applyFill="1" applyBorder="1" applyAlignment="1" applyProtection="1">
      <alignment horizontal="center"/>
      <protection locked="0"/>
    </xf>
    <xf numFmtId="0" fontId="16" fillId="8" borderId="18" xfId="0" applyFont="1" applyFill="1" applyBorder="1" applyAlignment="1" applyProtection="1">
      <alignment horizontal="left"/>
      <protection locked="0"/>
    </xf>
    <xf numFmtId="0" fontId="23" fillId="7" borderId="84" xfId="0" applyFont="1" applyFill="1" applyBorder="1" applyAlignment="1" applyProtection="1">
      <alignment horizontal="center"/>
      <protection locked="0"/>
    </xf>
    <xf numFmtId="0" fontId="23" fillId="7" borderId="6" xfId="0" applyFont="1" applyFill="1" applyBorder="1" applyAlignment="1" applyProtection="1">
      <alignment horizontal="center"/>
      <protection locked="0"/>
    </xf>
    <xf numFmtId="0" fontId="23" fillId="7" borderId="58" xfId="0" applyFont="1" applyFill="1" applyBorder="1" applyAlignment="1" applyProtection="1">
      <alignment horizontal="center"/>
      <protection locked="0"/>
    </xf>
    <xf numFmtId="0" fontId="23" fillId="7" borderId="7" xfId="0" applyFont="1" applyFill="1" applyBorder="1" applyAlignment="1" applyProtection="1">
      <alignment horizontal="center"/>
      <protection locked="0"/>
    </xf>
    <xf numFmtId="0" fontId="0" fillId="0" borderId="0" xfId="0" applyAlignment="1" applyProtection="1">
      <alignment horizontal="center" vertical="center"/>
      <protection locked="0"/>
    </xf>
    <xf numFmtId="0" fontId="16" fillId="8" borderId="58" xfId="0" applyFont="1" applyFill="1" applyBorder="1" applyAlignment="1" applyProtection="1">
      <alignment horizontal="left"/>
      <protection locked="0"/>
    </xf>
    <xf numFmtId="0" fontId="23" fillId="7" borderId="18" xfId="0" applyFont="1" applyFill="1" applyBorder="1" applyAlignment="1" applyProtection="1">
      <alignment horizontal="center"/>
      <protection locked="0"/>
    </xf>
    <xf numFmtId="0" fontId="0" fillId="0" borderId="9" xfId="0" applyBorder="1" applyProtection="1">
      <protection locked="0"/>
    </xf>
    <xf numFmtId="0" fontId="7" fillId="8" borderId="18" xfId="0" applyFont="1" applyFill="1" applyBorder="1" applyAlignment="1" applyProtection="1">
      <alignment horizontal="left"/>
      <protection locked="0"/>
    </xf>
    <xf numFmtId="0" fontId="1" fillId="7" borderId="18" xfId="0" applyFont="1" applyFill="1" applyBorder="1" applyAlignment="1" applyProtection="1">
      <alignment horizontal="center" vertical="center"/>
      <protection locked="0"/>
    </xf>
    <xf numFmtId="0" fontId="1" fillId="7" borderId="58" xfId="0" applyFont="1" applyFill="1" applyBorder="1" applyAlignment="1" applyProtection="1">
      <alignment horizontal="center" vertical="center"/>
      <protection locked="0"/>
    </xf>
    <xf numFmtId="165" fontId="1" fillId="0" borderId="0" xfId="0" applyNumberFormat="1" applyFont="1" applyAlignment="1" applyProtection="1">
      <alignment horizontal="center"/>
      <protection locked="0"/>
    </xf>
    <xf numFmtId="0" fontId="26" fillId="0" borderId="9" xfId="7" applyBorder="1" applyProtection="1">
      <protection locked="0"/>
    </xf>
    <xf numFmtId="0" fontId="0" fillId="12" borderId="18" xfId="0" applyFill="1" applyBorder="1" applyProtection="1">
      <protection locked="0"/>
    </xf>
    <xf numFmtId="0" fontId="0" fillId="12" borderId="59" xfId="0" applyFill="1" applyBorder="1" applyProtection="1">
      <protection locked="0"/>
    </xf>
    <xf numFmtId="0" fontId="0" fillId="12" borderId="61" xfId="0" applyFill="1" applyBorder="1" applyProtection="1">
      <protection locked="0"/>
    </xf>
    <xf numFmtId="0" fontId="23" fillId="12" borderId="18" xfId="0" applyFont="1" applyFill="1" applyBorder="1" applyAlignment="1" applyProtection="1">
      <alignment horizontal="center"/>
      <protection locked="0"/>
    </xf>
    <xf numFmtId="0" fontId="0" fillId="14" borderId="9" xfId="0" applyFill="1" applyBorder="1" applyProtection="1">
      <protection locked="0"/>
    </xf>
    <xf numFmtId="0" fontId="1" fillId="7" borderId="61" xfId="0" applyFont="1" applyFill="1" applyBorder="1" applyAlignment="1" applyProtection="1">
      <alignment horizontal="center"/>
      <protection locked="0"/>
    </xf>
    <xf numFmtId="0" fontId="26" fillId="0" borderId="81" xfId="7" applyBorder="1" applyProtection="1">
      <protection locked="0"/>
    </xf>
    <xf numFmtId="0" fontId="1" fillId="12" borderId="61" xfId="0" applyFont="1" applyFill="1" applyBorder="1" applyAlignment="1" applyProtection="1">
      <alignment horizontal="center"/>
      <protection locked="0"/>
    </xf>
    <xf numFmtId="0" fontId="62" fillId="0" borderId="0" xfId="0" applyFont="1" applyAlignment="1" applyProtection="1">
      <alignment horizontal="right"/>
      <protection locked="0"/>
    </xf>
    <xf numFmtId="0" fontId="0" fillId="8" borderId="9" xfId="0" applyFill="1" applyBorder="1" applyProtection="1">
      <protection locked="0"/>
    </xf>
    <xf numFmtId="0" fontId="7" fillId="0" borderId="0" xfId="0" applyFont="1" applyAlignment="1" applyProtection="1">
      <alignment horizontal="center"/>
      <protection locked="0"/>
    </xf>
    <xf numFmtId="0" fontId="0" fillId="9" borderId="9" xfId="0" applyFill="1" applyBorder="1" applyProtection="1">
      <protection locked="0"/>
    </xf>
    <xf numFmtId="0" fontId="0" fillId="0" borderId="72" xfId="0" applyBorder="1" applyProtection="1">
      <protection locked="0"/>
    </xf>
    <xf numFmtId="0" fontId="1" fillId="12" borderId="10" xfId="0" applyFont="1" applyFill="1" applyBorder="1" applyAlignment="1" applyProtection="1">
      <alignment horizontal="center"/>
      <protection locked="0"/>
    </xf>
    <xf numFmtId="0" fontId="0" fillId="5" borderId="9" xfId="0" applyFill="1" applyBorder="1" applyProtection="1">
      <protection locked="0"/>
    </xf>
    <xf numFmtId="0" fontId="1" fillId="7" borderId="8" xfId="0" applyFont="1" applyFill="1" applyBorder="1" applyAlignment="1" applyProtection="1">
      <alignment horizontal="center"/>
      <protection locked="0"/>
    </xf>
    <xf numFmtId="0" fontId="24" fillId="7" borderId="58" xfId="0" applyFont="1" applyFill="1" applyBorder="1" applyAlignment="1" applyProtection="1">
      <alignment horizontal="center"/>
      <protection locked="0"/>
    </xf>
    <xf numFmtId="0" fontId="24" fillId="7" borderId="8" xfId="0" applyFont="1" applyFill="1" applyBorder="1" applyAlignment="1" applyProtection="1">
      <alignment horizontal="center"/>
      <protection locked="0"/>
    </xf>
    <xf numFmtId="0" fontId="0" fillId="12" borderId="65" xfId="0" applyFill="1" applyBorder="1" applyProtection="1">
      <protection locked="0"/>
    </xf>
    <xf numFmtId="0" fontId="15" fillId="12" borderId="65" xfId="0" applyFont="1" applyFill="1" applyBorder="1" applyAlignment="1" applyProtection="1">
      <alignment horizontal="center" vertical="center"/>
      <protection locked="0"/>
    </xf>
    <xf numFmtId="0" fontId="1" fillId="7" borderId="18" xfId="0" applyFont="1" applyFill="1" applyBorder="1" applyAlignment="1" applyProtection="1">
      <alignment horizontal="center"/>
      <protection locked="0"/>
    </xf>
    <xf numFmtId="0" fontId="1" fillId="12" borderId="18" xfId="0" applyFont="1" applyFill="1" applyBorder="1" applyAlignment="1" applyProtection="1">
      <alignment horizontal="center"/>
      <protection locked="0"/>
    </xf>
    <xf numFmtId="0" fontId="26" fillId="0" borderId="82" xfId="7" applyBorder="1" applyProtection="1">
      <protection locked="0"/>
    </xf>
    <xf numFmtId="0" fontId="1" fillId="7" borderId="65" xfId="0" applyFont="1" applyFill="1" applyBorder="1" applyAlignment="1" applyProtection="1">
      <alignment horizontal="center"/>
      <protection locked="0"/>
    </xf>
    <xf numFmtId="0" fontId="38" fillId="18" borderId="18" xfId="7" applyFont="1" applyFill="1" applyBorder="1" applyProtection="1">
      <protection locked="0"/>
    </xf>
    <xf numFmtId="0" fontId="13" fillId="18" borderId="18" xfId="0" applyFont="1" applyFill="1" applyBorder="1" applyProtection="1">
      <protection locked="0"/>
    </xf>
    <xf numFmtId="0" fontId="60" fillId="18" borderId="78" xfId="7" applyFont="1" applyFill="1" applyBorder="1" applyProtection="1">
      <protection locked="0"/>
    </xf>
    <xf numFmtId="0" fontId="38" fillId="18" borderId="79" xfId="0" applyFont="1" applyFill="1" applyBorder="1" applyProtection="1">
      <protection locked="0"/>
    </xf>
    <xf numFmtId="0" fontId="38" fillId="18" borderId="80" xfId="0" applyFont="1" applyFill="1" applyBorder="1" applyProtection="1">
      <protection locked="0"/>
    </xf>
    <xf numFmtId="0" fontId="13" fillId="18" borderId="57" xfId="0" applyFont="1" applyFill="1" applyBorder="1" applyProtection="1">
      <protection locked="0"/>
    </xf>
    <xf numFmtId="0" fontId="0" fillId="12" borderId="9" xfId="0" applyFill="1" applyBorder="1" applyProtection="1">
      <protection locked="0"/>
    </xf>
    <xf numFmtId="0" fontId="0" fillId="0" borderId="7" xfId="0" applyBorder="1" applyProtection="1">
      <protection locked="0"/>
    </xf>
    <xf numFmtId="0" fontId="15" fillId="8" borderId="25" xfId="0" applyFont="1" applyFill="1" applyBorder="1" applyAlignment="1" applyProtection="1">
      <alignment horizontal="right"/>
      <protection locked="0"/>
    </xf>
    <xf numFmtId="0" fontId="15" fillId="8" borderId="26" xfId="0" applyFont="1" applyFill="1" applyBorder="1" applyAlignment="1" applyProtection="1">
      <alignment horizontal="right"/>
      <protection locked="0"/>
    </xf>
    <xf numFmtId="0" fontId="15" fillId="8" borderId="26" xfId="0" applyFont="1" applyFill="1" applyBorder="1" applyAlignment="1" applyProtection="1">
      <alignment horizontal="right" vertical="center"/>
      <protection locked="0"/>
    </xf>
    <xf numFmtId="0" fontId="0" fillId="8" borderId="26" xfId="0" applyFill="1" applyBorder="1" applyProtection="1">
      <protection locked="0"/>
    </xf>
    <xf numFmtId="0" fontId="15" fillId="8" borderId="26" xfId="0" quotePrefix="1" applyFont="1" applyFill="1" applyBorder="1" applyAlignment="1" applyProtection="1">
      <alignment horizontal="right"/>
      <protection locked="0"/>
    </xf>
    <xf numFmtId="0" fontId="21" fillId="8" borderId="27" xfId="0" applyFont="1" applyFill="1" applyBorder="1" applyAlignment="1" applyProtection="1">
      <alignment horizontal="left"/>
      <protection locked="0"/>
    </xf>
    <xf numFmtId="0" fontId="0" fillId="14" borderId="23" xfId="0" applyFill="1" applyBorder="1" applyProtection="1">
      <protection locked="0"/>
    </xf>
    <xf numFmtId="0" fontId="14" fillId="14" borderId="0" xfId="0" applyFont="1" applyFill="1" applyProtection="1">
      <protection locked="0"/>
    </xf>
    <xf numFmtId="0" fontId="14" fillId="14" borderId="0" xfId="0" applyFont="1" applyFill="1" applyAlignment="1" applyProtection="1">
      <alignment horizontal="right"/>
      <protection locked="0"/>
    </xf>
    <xf numFmtId="0" fontId="0" fillId="14" borderId="24" xfId="0" applyFill="1" applyBorder="1" applyProtection="1">
      <protection locked="0"/>
    </xf>
    <xf numFmtId="0" fontId="1" fillId="14" borderId="0" xfId="0" applyFont="1" applyFill="1" applyProtection="1">
      <protection locked="0"/>
    </xf>
    <xf numFmtId="0" fontId="1" fillId="14" borderId="24" xfId="0" applyFont="1" applyFill="1" applyBorder="1" applyAlignment="1" applyProtection="1">
      <alignment horizontal="left"/>
      <protection locked="0"/>
    </xf>
    <xf numFmtId="0" fontId="1" fillId="14" borderId="0" xfId="0" applyFont="1" applyFill="1" applyAlignment="1" applyProtection="1">
      <alignment horizontal="left"/>
      <protection locked="0"/>
    </xf>
    <xf numFmtId="0" fontId="1" fillId="14" borderId="32" xfId="0" applyFont="1" applyFill="1" applyBorder="1" applyAlignment="1" applyProtection="1">
      <alignment horizontal="left"/>
      <protection locked="0"/>
    </xf>
    <xf numFmtId="0" fontId="0" fillId="0" borderId="23" xfId="0" applyBorder="1" applyAlignment="1" applyProtection="1">
      <alignment vertical="top"/>
      <protection locked="0"/>
    </xf>
    <xf numFmtId="0" fontId="14" fillId="14" borderId="30" xfId="0" applyFont="1" applyFill="1" applyBorder="1" applyAlignment="1" applyProtection="1">
      <alignment horizontal="right"/>
      <protection locked="0"/>
    </xf>
    <xf numFmtId="0" fontId="1" fillId="14" borderId="31" xfId="0" applyFont="1" applyFill="1" applyBorder="1" applyAlignment="1" applyProtection="1">
      <alignment horizontal="left"/>
      <protection locked="0"/>
    </xf>
    <xf numFmtId="0" fontId="1" fillId="14" borderId="31" xfId="0" applyFont="1" applyFill="1" applyBorder="1" applyProtection="1">
      <protection locked="0"/>
    </xf>
    <xf numFmtId="0" fontId="1" fillId="14" borderId="54" xfId="0" applyFont="1" applyFill="1" applyBorder="1" applyAlignment="1" applyProtection="1">
      <alignment horizontal="left"/>
      <protection locked="0"/>
    </xf>
    <xf numFmtId="0" fontId="1" fillId="14" borderId="54" xfId="0" applyFont="1" applyFill="1" applyBorder="1" applyProtection="1">
      <protection locked="0"/>
    </xf>
    <xf numFmtId="0" fontId="1" fillId="14" borderId="93" xfId="0" applyFont="1" applyFill="1" applyBorder="1" applyAlignment="1" applyProtection="1">
      <alignment horizontal="left"/>
      <protection locked="0"/>
    </xf>
    <xf numFmtId="0" fontId="29" fillId="0" borderId="0" xfId="0" applyFont="1" applyProtection="1">
      <protection locked="0"/>
    </xf>
    <xf numFmtId="0" fontId="0" fillId="8" borderId="49" xfId="0" applyFill="1" applyBorder="1" applyProtection="1">
      <protection locked="0"/>
    </xf>
    <xf numFmtId="0" fontId="0" fillId="9" borderId="49" xfId="0" applyFill="1" applyBorder="1" applyProtection="1">
      <protection locked="0"/>
    </xf>
    <xf numFmtId="0" fontId="0" fillId="8" borderId="45" xfId="0" applyFill="1" applyBorder="1" applyProtection="1">
      <protection locked="0"/>
    </xf>
    <xf numFmtId="0" fontId="0" fillId="9" borderId="45" xfId="0" applyFill="1" applyBorder="1" applyProtection="1">
      <protection locked="0"/>
    </xf>
    <xf numFmtId="0" fontId="2" fillId="14" borderId="33" xfId="7" applyFont="1" applyFill="1" applyBorder="1" applyProtection="1">
      <protection locked="0"/>
    </xf>
    <xf numFmtId="0" fontId="2" fillId="14" borderId="14" xfId="7" applyFont="1" applyFill="1" applyBorder="1" applyAlignment="1" applyProtection="1">
      <alignment horizontal="center"/>
      <protection locked="0"/>
    </xf>
    <xf numFmtId="0" fontId="0" fillId="14" borderId="64" xfId="0" applyFill="1" applyBorder="1" applyProtection="1">
      <protection locked="0"/>
    </xf>
    <xf numFmtId="0" fontId="0" fillId="8" borderId="64" xfId="0" applyFill="1" applyBorder="1" applyProtection="1">
      <protection locked="0"/>
    </xf>
    <xf numFmtId="0" fontId="2" fillId="8" borderId="35" xfId="7" applyFont="1" applyFill="1" applyBorder="1" applyProtection="1">
      <protection locked="0"/>
    </xf>
    <xf numFmtId="0" fontId="2" fillId="8" borderId="14" xfId="7" applyFont="1" applyFill="1" applyBorder="1" applyAlignment="1" applyProtection="1">
      <alignment horizontal="center"/>
      <protection locked="0"/>
    </xf>
    <xf numFmtId="0" fontId="2" fillId="8" borderId="64" xfId="0" applyFont="1" applyFill="1" applyBorder="1" applyProtection="1">
      <protection locked="0"/>
    </xf>
    <xf numFmtId="0" fontId="0" fillId="9" borderId="64" xfId="0" applyFill="1" applyBorder="1" applyProtection="1">
      <protection locked="0"/>
    </xf>
    <xf numFmtId="0" fontId="0" fillId="9" borderId="35" xfId="7" applyFont="1" applyFill="1" applyBorder="1" applyProtection="1">
      <protection locked="0"/>
    </xf>
    <xf numFmtId="0" fontId="10" fillId="0" borderId="0" xfId="0" applyFont="1" applyAlignment="1" applyProtection="1">
      <alignment horizontal="center" vertical="center"/>
      <protection locked="0"/>
    </xf>
    <xf numFmtId="0" fontId="0" fillId="14" borderId="35" xfId="7" applyFont="1" applyFill="1" applyBorder="1" applyProtection="1">
      <protection locked="0"/>
    </xf>
    <xf numFmtId="0" fontId="2" fillId="9" borderId="35" xfId="7" applyFont="1" applyFill="1" applyBorder="1" applyProtection="1">
      <protection locked="0"/>
    </xf>
    <xf numFmtId="0" fontId="2" fillId="9" borderId="14" xfId="7" applyFont="1" applyFill="1" applyBorder="1" applyAlignment="1" applyProtection="1">
      <alignment horizontal="center"/>
      <protection locked="0"/>
    </xf>
    <xf numFmtId="0" fontId="2" fillId="5" borderId="35" xfId="7" applyFont="1" applyFill="1" applyBorder="1" applyProtection="1">
      <protection locked="0"/>
    </xf>
    <xf numFmtId="0" fontId="2" fillId="5" borderId="14" xfId="7" applyFont="1" applyFill="1" applyBorder="1" applyAlignment="1" applyProtection="1">
      <alignment horizontal="center"/>
      <protection locked="0"/>
    </xf>
    <xf numFmtId="0" fontId="2" fillId="5" borderId="64" xfId="0" applyFont="1" applyFill="1" applyBorder="1" applyProtection="1">
      <protection locked="0"/>
    </xf>
    <xf numFmtId="0" fontId="0" fillId="5" borderId="64" xfId="0" applyFill="1" applyBorder="1" applyProtection="1">
      <protection locked="0"/>
    </xf>
    <xf numFmtId="0" fontId="13" fillId="5" borderId="35" xfId="7" applyFont="1" applyFill="1" applyBorder="1" applyProtection="1">
      <protection locked="0"/>
    </xf>
    <xf numFmtId="0" fontId="0" fillId="0" borderId="45" xfId="0" applyBorder="1" applyProtection="1">
      <protection locked="0"/>
    </xf>
    <xf numFmtId="0" fontId="0" fillId="0" borderId="45" xfId="0" applyBorder="1" applyAlignment="1" applyProtection="1">
      <alignment horizontal="left"/>
      <protection locked="0"/>
    </xf>
    <xf numFmtId="0" fontId="0" fillId="0" borderId="46" xfId="0" applyBorder="1" applyProtection="1">
      <protection locked="0"/>
    </xf>
    <xf numFmtId="0" fontId="0" fillId="9" borderId="90" xfId="0" applyFill="1" applyBorder="1" applyProtection="1">
      <protection locked="0"/>
    </xf>
    <xf numFmtId="0" fontId="13" fillId="0" borderId="0" xfId="0" applyFont="1" applyProtection="1">
      <protection locked="0"/>
    </xf>
    <xf numFmtId="0" fontId="13" fillId="0" borderId="0" xfId="7" applyFont="1" applyFill="1" applyBorder="1" applyAlignment="1" applyProtection="1">
      <alignment horizontal="center"/>
      <protection locked="0"/>
    </xf>
    <xf numFmtId="0" fontId="13" fillId="0" borderId="0" xfId="0" applyFont="1" applyAlignment="1" applyProtection="1">
      <alignment horizontal="center"/>
      <protection locked="0"/>
    </xf>
    <xf numFmtId="1" fontId="24" fillId="14" borderId="44" xfId="0" applyNumberFormat="1" applyFont="1" applyFill="1" applyBorder="1" applyAlignment="1">
      <alignment horizontal="center"/>
    </xf>
    <xf numFmtId="0" fontId="1" fillId="17" borderId="18" xfId="0" applyFont="1" applyFill="1" applyBorder="1" applyAlignment="1">
      <alignment horizontal="center"/>
    </xf>
    <xf numFmtId="0" fontId="1" fillId="8" borderId="18" xfId="0" applyFont="1" applyFill="1" applyBorder="1" applyAlignment="1">
      <alignment horizontal="center"/>
    </xf>
    <xf numFmtId="0" fontId="24" fillId="18" borderId="58" xfId="0" applyFont="1" applyFill="1" applyBorder="1" applyAlignment="1">
      <alignment horizontal="center" vertical="center"/>
    </xf>
    <xf numFmtId="0" fontId="24" fillId="18" borderId="7" xfId="0" applyFont="1" applyFill="1" applyBorder="1" applyAlignment="1">
      <alignment horizontal="center" vertical="center"/>
    </xf>
    <xf numFmtId="0" fontId="24" fillId="18" borderId="18" xfId="0" applyFont="1" applyFill="1" applyBorder="1" applyAlignment="1">
      <alignment horizontal="center" vertical="center"/>
    </xf>
    <xf numFmtId="0" fontId="13" fillId="18" borderId="59" xfId="0" applyFont="1" applyFill="1" applyBorder="1" applyAlignment="1">
      <alignment horizontal="center" vertical="top"/>
    </xf>
    <xf numFmtId="0" fontId="21" fillId="8" borderId="26" xfId="0" quotePrefix="1" applyFont="1" applyFill="1" applyBorder="1" applyAlignment="1">
      <alignment horizontal="left"/>
    </xf>
    <xf numFmtId="1" fontId="1" fillId="14" borderId="56" xfId="0" applyNumberFormat="1" applyFont="1" applyFill="1" applyBorder="1" applyAlignment="1">
      <alignment horizontal="right"/>
    </xf>
    <xf numFmtId="0" fontId="2" fillId="8" borderId="14" xfId="0" applyFont="1" applyFill="1" applyBorder="1" applyAlignment="1">
      <alignment horizontal="center"/>
    </xf>
    <xf numFmtId="0" fontId="2" fillId="5" borderId="14" xfId="0" applyFont="1" applyFill="1" applyBorder="1" applyAlignment="1">
      <alignment horizontal="center"/>
    </xf>
    <xf numFmtId="0" fontId="0" fillId="9" borderId="71" xfId="0" applyFill="1" applyBorder="1" applyAlignment="1">
      <alignment horizontal="center"/>
    </xf>
    <xf numFmtId="0" fontId="0" fillId="8" borderId="71" xfId="0" applyFill="1" applyBorder="1" applyAlignment="1">
      <alignment horizontal="center"/>
    </xf>
    <xf numFmtId="0" fontId="0" fillId="9" borderId="49" xfId="0" applyFill="1" applyBorder="1" applyAlignment="1">
      <alignment horizontal="center"/>
    </xf>
    <xf numFmtId="0" fontId="0" fillId="8" borderId="49" xfId="0" applyFill="1" applyBorder="1" applyAlignment="1">
      <alignment horizontal="center"/>
    </xf>
    <xf numFmtId="0" fontId="0" fillId="9" borderId="40" xfId="0" applyFill="1" applyBorder="1" applyAlignment="1">
      <alignment horizontal="center"/>
    </xf>
    <xf numFmtId="0" fontId="0" fillId="8" borderId="40" xfId="0" applyFill="1" applyBorder="1" applyAlignment="1">
      <alignment horizontal="center"/>
    </xf>
    <xf numFmtId="0" fontId="0" fillId="9" borderId="45" xfId="0" applyFill="1" applyBorder="1" applyAlignment="1">
      <alignment horizontal="center"/>
    </xf>
    <xf numFmtId="0" fontId="0" fillId="8" borderId="45" xfId="0" applyFill="1" applyBorder="1" applyAlignment="1">
      <alignment horizontal="center"/>
    </xf>
    <xf numFmtId="0" fontId="0" fillId="0" borderId="14" xfId="0" applyBorder="1" applyAlignment="1">
      <alignment horizontal="center" vertical="top"/>
    </xf>
    <xf numFmtId="0" fontId="0" fillId="8" borderId="91" xfId="0" applyFill="1" applyBorder="1" applyAlignment="1">
      <alignment horizontal="center"/>
    </xf>
    <xf numFmtId="0" fontId="0" fillId="8" borderId="90" xfId="0" applyFill="1" applyBorder="1" applyAlignment="1">
      <alignment horizontal="center"/>
    </xf>
    <xf numFmtId="0" fontId="0" fillId="8" borderId="92" xfId="0" applyFill="1" applyBorder="1" applyAlignment="1">
      <alignment horizontal="center"/>
    </xf>
    <xf numFmtId="0" fontId="0" fillId="0" borderId="92" xfId="0" applyBorder="1" applyAlignment="1">
      <alignment horizontal="center"/>
    </xf>
    <xf numFmtId="0" fontId="7" fillId="8" borderId="58" xfId="0" applyFont="1" applyFill="1" applyBorder="1"/>
    <xf numFmtId="0" fontId="7" fillId="8" borderId="18" xfId="0" applyFont="1" applyFill="1" applyBorder="1" applyAlignment="1">
      <alignment horizontal="center"/>
    </xf>
    <xf numFmtId="0" fontId="12" fillId="8" borderId="48" xfId="0" applyFont="1" applyFill="1" applyBorder="1" applyAlignment="1" applyProtection="1">
      <alignment horizontal="center"/>
      <protection locked="0"/>
    </xf>
    <xf numFmtId="0" fontId="12" fillId="0" borderId="17" xfId="0" applyFont="1" applyBorder="1" applyAlignment="1" applyProtection="1">
      <alignment horizontal="right"/>
      <protection locked="0"/>
    </xf>
    <xf numFmtId="0" fontId="12" fillId="14" borderId="116" xfId="0" applyFont="1" applyFill="1" applyBorder="1" applyAlignment="1">
      <alignment horizontal="center"/>
    </xf>
    <xf numFmtId="0" fontId="12" fillId="14" borderId="19" xfId="0" applyFont="1" applyFill="1" applyBorder="1" applyAlignment="1">
      <alignment horizontal="center"/>
    </xf>
    <xf numFmtId="0" fontId="12" fillId="14" borderId="117" xfId="0" applyFont="1" applyFill="1" applyBorder="1" applyAlignment="1">
      <alignment horizontal="center"/>
    </xf>
    <xf numFmtId="0" fontId="12" fillId="8" borderId="118" xfId="0" applyFont="1" applyFill="1" applyBorder="1" applyAlignment="1" applyProtection="1">
      <alignment horizontal="right"/>
      <protection locked="0"/>
    </xf>
    <xf numFmtId="0" fontId="12" fillId="0" borderId="37" xfId="0" applyFont="1" applyBorder="1" applyAlignment="1" applyProtection="1">
      <alignment horizontal="right"/>
      <protection locked="0"/>
    </xf>
    <xf numFmtId="0" fontId="12" fillId="0" borderId="53" xfId="0" applyFont="1" applyBorder="1" applyAlignment="1" applyProtection="1">
      <alignment horizontal="right"/>
      <protection locked="0"/>
    </xf>
    <xf numFmtId="0" fontId="12" fillId="14" borderId="119" xfId="0" applyFont="1" applyFill="1" applyBorder="1" applyAlignment="1">
      <alignment horizontal="center"/>
    </xf>
    <xf numFmtId="1" fontId="1" fillId="14" borderId="120" xfId="0" applyNumberFormat="1" applyFont="1" applyFill="1" applyBorder="1" applyAlignment="1">
      <alignment horizontal="center"/>
    </xf>
    <xf numFmtId="1" fontId="1" fillId="14" borderId="121" xfId="0" applyNumberFormat="1" applyFont="1" applyFill="1" applyBorder="1" applyAlignment="1">
      <alignment horizontal="center"/>
    </xf>
    <xf numFmtId="1" fontId="1" fillId="14" borderId="122" xfId="0" applyNumberFormat="1" applyFont="1" applyFill="1" applyBorder="1" applyAlignment="1">
      <alignment horizontal="center"/>
    </xf>
    <xf numFmtId="0" fontId="0" fillId="0" borderId="19" xfId="0" applyBorder="1" applyProtection="1">
      <protection locked="0"/>
    </xf>
    <xf numFmtId="0" fontId="0" fillId="0" borderId="41" xfId="0" applyBorder="1" applyProtection="1">
      <protection locked="0"/>
    </xf>
    <xf numFmtId="0" fontId="24" fillId="0" borderId="0" xfId="0" applyFont="1" applyAlignment="1">
      <alignment horizontal="left" vertical="top" wrapText="1"/>
    </xf>
    <xf numFmtId="0" fontId="24" fillId="0" borderId="52" xfId="0" applyFont="1" applyBorder="1" applyAlignment="1">
      <alignment horizontal="left" vertical="top" wrapText="1"/>
    </xf>
    <xf numFmtId="0" fontId="24" fillId="0" borderId="54" xfId="7" applyFont="1" applyBorder="1" applyAlignment="1">
      <alignment horizontal="left" vertical="top" wrapText="1"/>
    </xf>
    <xf numFmtId="0" fontId="37" fillId="0" borderId="55" xfId="7" applyFont="1" applyBorder="1" applyAlignment="1">
      <alignment horizontal="left" vertical="top" wrapText="1"/>
    </xf>
    <xf numFmtId="0" fontId="1" fillId="7" borderId="59" xfId="0" applyFont="1" applyFill="1" applyBorder="1" applyAlignment="1">
      <alignment horizontal="left" vertical="center" wrapText="1"/>
    </xf>
    <xf numFmtId="0" fontId="0" fillId="7" borderId="60" xfId="0" applyFill="1" applyBorder="1" applyAlignment="1">
      <alignment horizontal="left" vertical="center" wrapText="1"/>
    </xf>
    <xf numFmtId="0" fontId="0" fillId="7" borderId="61" xfId="0" applyFill="1" applyBorder="1" applyAlignment="1">
      <alignment horizontal="left" vertical="center" wrapText="1"/>
    </xf>
    <xf numFmtId="0" fontId="24" fillId="0" borderId="17" xfId="0" applyFont="1" applyBorder="1" applyAlignment="1">
      <alignment vertical="center" wrapText="1"/>
    </xf>
    <xf numFmtId="0" fontId="24" fillId="0" borderId="19" xfId="0" applyFont="1" applyBorder="1" applyAlignment="1">
      <alignment vertical="center" wrapText="1"/>
    </xf>
    <xf numFmtId="0" fontId="24" fillId="0" borderId="20" xfId="0" applyFont="1" applyBorder="1" applyAlignment="1">
      <alignment vertical="center" wrapText="1"/>
    </xf>
    <xf numFmtId="0" fontId="24" fillId="0" borderId="0" xfId="0" applyFont="1" applyAlignment="1">
      <alignment horizontal="left" vertical="center" wrapText="1"/>
    </xf>
    <xf numFmtId="0" fontId="24" fillId="0" borderId="52" xfId="0" applyFont="1" applyBorder="1" applyAlignment="1">
      <alignment horizontal="left" vertical="center" wrapText="1"/>
    </xf>
    <xf numFmtId="0" fontId="1" fillId="0" borderId="0" xfId="0" applyFont="1" applyAlignment="1">
      <alignment horizontal="left" vertical="center" wrapText="1"/>
    </xf>
    <xf numFmtId="0" fontId="1" fillId="0" borderId="52" xfId="0" applyFont="1" applyBorder="1" applyAlignment="1">
      <alignment horizontal="left" vertical="center" wrapText="1"/>
    </xf>
    <xf numFmtId="0" fontId="1" fillId="0" borderId="53" xfId="0" applyFont="1" applyBorder="1" applyAlignment="1">
      <alignment horizontal="left" vertical="center" wrapText="1"/>
    </xf>
    <xf numFmtId="0" fontId="12" fillId="0" borderId="54" xfId="0" applyFont="1" applyBorder="1" applyAlignment="1">
      <alignment horizontal="left" vertical="center" wrapText="1"/>
    </xf>
    <xf numFmtId="0" fontId="12" fillId="0" borderId="55" xfId="0" applyFont="1" applyBorder="1" applyAlignment="1">
      <alignment horizontal="left" vertical="center" wrapText="1"/>
    </xf>
    <xf numFmtId="0" fontId="33" fillId="10" borderId="0" xfId="0" applyFont="1" applyFill="1" applyAlignment="1">
      <alignment horizontal="center"/>
    </xf>
    <xf numFmtId="0" fontId="22" fillId="10" borderId="0" xfId="0" applyFont="1" applyFill="1" applyAlignment="1">
      <alignment horizontal="center"/>
    </xf>
    <xf numFmtId="0" fontId="24" fillId="0" borderId="17" xfId="0" applyFont="1" applyBorder="1" applyAlignment="1">
      <alignment horizontal="left" vertical="center" wrapText="1"/>
    </xf>
    <xf numFmtId="0" fontId="24" fillId="0" borderId="19" xfId="0" applyFont="1" applyBorder="1" applyAlignment="1">
      <alignment horizontal="left" vertical="center" wrapText="1"/>
    </xf>
    <xf numFmtId="0" fontId="24" fillId="0" borderId="20" xfId="0" applyFont="1" applyBorder="1" applyAlignment="1">
      <alignment horizontal="left" vertical="center" wrapText="1"/>
    </xf>
    <xf numFmtId="0" fontId="33" fillId="10" borderId="15" xfId="0" applyFont="1" applyFill="1" applyBorder="1" applyAlignment="1">
      <alignment horizontal="center"/>
    </xf>
    <xf numFmtId="0" fontId="33" fillId="10" borderId="38" xfId="0" applyFont="1" applyFill="1" applyBorder="1" applyAlignment="1">
      <alignment horizontal="center"/>
    </xf>
    <xf numFmtId="0" fontId="33" fillId="10" borderId="39" xfId="0" applyFont="1" applyFill="1" applyBorder="1" applyAlignment="1">
      <alignment horizontal="center"/>
    </xf>
    <xf numFmtId="0" fontId="24" fillId="0" borderId="15" xfId="0" applyFont="1" applyBorder="1" applyAlignment="1">
      <alignment horizontal="left" vertical="top" wrapText="1"/>
    </xf>
    <xf numFmtId="0" fontId="24" fillId="0" borderId="38" xfId="0" applyFont="1" applyBorder="1" applyAlignment="1">
      <alignment horizontal="left" vertical="top" wrapText="1"/>
    </xf>
    <xf numFmtId="0" fontId="24" fillId="0" borderId="39" xfId="0" applyFont="1" applyBorder="1" applyAlignment="1">
      <alignment horizontal="left" vertical="top" wrapText="1"/>
    </xf>
    <xf numFmtId="0" fontId="0" fillId="0" borderId="0" xfId="0" applyAlignment="1">
      <alignment horizontal="left" vertical="top" wrapText="1"/>
    </xf>
    <xf numFmtId="0" fontId="7" fillId="0" borderId="54" xfId="0" applyFont="1" applyBorder="1" applyAlignment="1">
      <alignment horizontal="center"/>
    </xf>
    <xf numFmtId="0" fontId="34" fillId="10" borderId="17" xfId="0" applyFont="1" applyFill="1" applyBorder="1" applyAlignment="1">
      <alignment horizontal="center" vertical="center"/>
    </xf>
    <xf numFmtId="0" fontId="35" fillId="10" borderId="19" xfId="0" applyFont="1" applyFill="1" applyBorder="1" applyAlignment="1">
      <alignment horizontal="center" vertical="center"/>
    </xf>
    <xf numFmtId="0" fontId="35" fillId="10" borderId="20" xfId="0" applyFont="1" applyFill="1" applyBorder="1" applyAlignment="1">
      <alignment horizontal="center" vertical="center"/>
    </xf>
    <xf numFmtId="0" fontId="35" fillId="10" borderId="53" xfId="0" applyFont="1" applyFill="1" applyBorder="1" applyAlignment="1">
      <alignment horizontal="center" vertical="center"/>
    </xf>
    <xf numFmtId="0" fontId="35" fillId="10" borderId="54" xfId="0" applyFont="1" applyFill="1" applyBorder="1" applyAlignment="1">
      <alignment horizontal="center" vertical="center"/>
    </xf>
    <xf numFmtId="0" fontId="35" fillId="10" borderId="55" xfId="0" applyFont="1" applyFill="1" applyBorder="1" applyAlignment="1">
      <alignment horizontal="center" vertical="center"/>
    </xf>
    <xf numFmtId="0" fontId="0" fillId="0" borderId="15" xfId="0" applyBorder="1" applyAlignment="1">
      <alignment wrapText="1"/>
    </xf>
    <xf numFmtId="0" fontId="0" fillId="0" borderId="38" xfId="0" applyBorder="1" applyAlignment="1">
      <alignment wrapText="1"/>
    </xf>
    <xf numFmtId="0" fontId="0" fillId="0" borderId="39" xfId="0" applyBorder="1" applyAlignment="1">
      <alignment wrapText="1"/>
    </xf>
    <xf numFmtId="0" fontId="33" fillId="10" borderId="17" xfId="0" applyFont="1" applyFill="1" applyBorder="1" applyAlignment="1">
      <alignment horizontal="center"/>
    </xf>
    <xf numFmtId="0" fontId="1" fillId="10" borderId="19" xfId="0" applyFont="1" applyFill="1" applyBorder="1" applyAlignment="1">
      <alignment horizontal="center"/>
    </xf>
    <xf numFmtId="0" fontId="1" fillId="10" borderId="20" xfId="0" applyFont="1" applyFill="1" applyBorder="1" applyAlignment="1">
      <alignment horizontal="center"/>
    </xf>
    <xf numFmtId="0" fontId="1" fillId="0" borderId="20" xfId="0" applyFont="1" applyBorder="1" applyAlignment="1">
      <alignment horizontal="left" vertical="top" wrapText="1"/>
    </xf>
    <xf numFmtId="0" fontId="1" fillId="0" borderId="52" xfId="0" applyFont="1" applyBorder="1" applyAlignment="1">
      <alignment horizontal="left" vertical="top" wrapText="1"/>
    </xf>
    <xf numFmtId="0" fontId="1" fillId="0" borderId="55" xfId="0" applyFont="1" applyBorder="1" applyAlignment="1">
      <alignment horizontal="left" vertical="top" wrapText="1"/>
    </xf>
    <xf numFmtId="0" fontId="22" fillId="0" borderId="52" xfId="0" applyFont="1" applyBorder="1" applyAlignment="1">
      <alignment horizontal="left" vertical="top" wrapText="1"/>
    </xf>
    <xf numFmtId="0" fontId="24" fillId="0" borderId="54" xfId="0" applyFont="1" applyBorder="1" applyAlignment="1">
      <alignment horizontal="left" vertical="top" wrapText="1"/>
    </xf>
    <xf numFmtId="0" fontId="24" fillId="0" borderId="55" xfId="0" applyFont="1" applyBorder="1" applyAlignment="1">
      <alignment horizontal="left" vertical="top" wrapText="1"/>
    </xf>
    <xf numFmtId="0" fontId="24" fillId="0" borderId="17" xfId="0" quotePrefix="1" applyFont="1" applyBorder="1" applyAlignment="1">
      <alignment horizontal="left" vertical="top" wrapText="1"/>
    </xf>
    <xf numFmtId="0" fontId="24" fillId="0" borderId="19" xfId="0" quotePrefix="1" applyFont="1" applyBorder="1" applyAlignment="1">
      <alignment horizontal="left" vertical="top" wrapText="1"/>
    </xf>
    <xf numFmtId="0" fontId="24" fillId="0" borderId="20" xfId="0" quotePrefix="1" applyFont="1" applyBorder="1" applyAlignment="1">
      <alignment horizontal="left" vertical="top" wrapText="1"/>
    </xf>
    <xf numFmtId="0" fontId="0" fillId="7" borderId="59" xfId="0" applyFill="1" applyBorder="1" applyAlignment="1">
      <alignment horizontal="center" vertical="center"/>
    </xf>
    <xf numFmtId="0" fontId="0" fillId="7" borderId="61" xfId="0" applyFill="1" applyBorder="1" applyAlignment="1">
      <alignment horizontal="center" vertical="center"/>
    </xf>
    <xf numFmtId="0" fontId="7" fillId="7" borderId="102" xfId="0" applyFont="1" applyFill="1" applyBorder="1" applyAlignment="1">
      <alignment horizontal="center" wrapText="1"/>
    </xf>
    <xf numFmtId="0" fontId="7" fillId="7" borderId="101" xfId="0" applyFont="1" applyFill="1" applyBorder="1" applyAlignment="1">
      <alignment horizontal="center" wrapText="1"/>
    </xf>
    <xf numFmtId="0" fontId="7" fillId="7" borderId="107" xfId="0" applyFont="1" applyFill="1" applyBorder="1" applyAlignment="1">
      <alignment horizontal="center" wrapText="1"/>
    </xf>
    <xf numFmtId="0" fontId="7" fillId="7" borderId="105" xfId="0" applyFont="1" applyFill="1" applyBorder="1" applyAlignment="1">
      <alignment horizontal="center" wrapText="1"/>
    </xf>
    <xf numFmtId="0" fontId="7" fillId="7" borderId="106" xfId="0" applyFont="1" applyFill="1" applyBorder="1" applyAlignment="1">
      <alignment horizontal="center" wrapText="1"/>
    </xf>
    <xf numFmtId="0" fontId="7" fillId="7" borderId="109" xfId="0" applyFont="1" applyFill="1" applyBorder="1" applyAlignment="1">
      <alignment horizontal="center" wrapText="1"/>
    </xf>
    <xf numFmtId="0" fontId="63" fillId="0" borderId="0" xfId="0" applyFont="1" applyAlignment="1">
      <alignment horizontal="center" vertical="center"/>
    </xf>
    <xf numFmtId="0" fontId="63" fillId="0" borderId="115" xfId="0" applyFont="1" applyBorder="1" applyAlignment="1">
      <alignment horizontal="center" vertical="center"/>
    </xf>
    <xf numFmtId="0" fontId="16" fillId="8" borderId="74" xfId="0" quotePrefix="1" applyFont="1" applyFill="1" applyBorder="1" applyAlignment="1" applyProtection="1">
      <alignment horizontal="center"/>
      <protection locked="0"/>
    </xf>
    <xf numFmtId="0" fontId="16" fillId="8" borderId="38" xfId="0" quotePrefix="1" applyFont="1" applyFill="1" applyBorder="1" applyAlignment="1" applyProtection="1">
      <alignment horizontal="center"/>
      <protection locked="0"/>
    </xf>
    <xf numFmtId="0" fontId="16" fillId="8" borderId="39" xfId="0" quotePrefix="1" applyFont="1" applyFill="1" applyBorder="1" applyAlignment="1" applyProtection="1">
      <alignment horizontal="center"/>
      <protection locked="0"/>
    </xf>
    <xf numFmtId="0" fontId="26" fillId="0" borderId="38" xfId="7" applyBorder="1" applyAlignment="1" applyProtection="1">
      <alignment horizontal="center"/>
      <protection locked="0"/>
    </xf>
    <xf numFmtId="0" fontId="26" fillId="0" borderId="39" xfId="7" applyBorder="1" applyAlignment="1" applyProtection="1">
      <alignment horizontal="center"/>
      <protection locked="0"/>
    </xf>
    <xf numFmtId="0" fontId="10" fillId="10" borderId="37" xfId="0" applyFont="1" applyFill="1" applyBorder="1" applyAlignment="1" applyProtection="1">
      <alignment horizontal="left"/>
      <protection locked="0"/>
    </xf>
    <xf numFmtId="0" fontId="10" fillId="10" borderId="0" xfId="0" applyFont="1" applyFill="1" applyAlignment="1" applyProtection="1">
      <alignment horizontal="left"/>
      <protection locked="0"/>
    </xf>
    <xf numFmtId="0" fontId="11" fillId="10" borderId="110" xfId="0" applyFont="1" applyFill="1" applyBorder="1" applyAlignment="1" applyProtection="1">
      <alignment horizontal="center"/>
      <protection locked="0"/>
    </xf>
    <xf numFmtId="0" fontId="11" fillId="10" borderId="111" xfId="0" applyFont="1" applyFill="1" applyBorder="1" applyAlignment="1" applyProtection="1">
      <alignment horizontal="center"/>
      <protection locked="0"/>
    </xf>
    <xf numFmtId="0" fontId="11" fillId="10" borderId="112" xfId="0" applyFont="1" applyFill="1" applyBorder="1" applyAlignment="1" applyProtection="1">
      <alignment horizontal="center"/>
      <protection locked="0"/>
    </xf>
    <xf numFmtId="0" fontId="15" fillId="8" borderId="25" xfId="0" applyFont="1" applyFill="1" applyBorder="1" applyAlignment="1" applyProtection="1">
      <alignment horizontal="center"/>
      <protection locked="0"/>
    </xf>
    <xf numFmtId="0" fontId="15" fillId="8" borderId="26" xfId="0" applyFont="1" applyFill="1" applyBorder="1" applyAlignment="1" applyProtection="1">
      <alignment horizontal="center"/>
      <protection locked="0"/>
    </xf>
    <xf numFmtId="0" fontId="15" fillId="8" borderId="48" xfId="0" applyFont="1" applyFill="1" applyBorder="1" applyAlignment="1" applyProtection="1">
      <alignment horizontal="center"/>
      <protection locked="0"/>
    </xf>
    <xf numFmtId="0" fontId="15" fillId="8" borderId="27" xfId="0" applyFont="1" applyFill="1" applyBorder="1" applyAlignment="1" applyProtection="1">
      <alignment horizontal="center"/>
      <protection locked="0"/>
    </xf>
    <xf numFmtId="0" fontId="25" fillId="0" borderId="9" xfId="0" applyFont="1" applyBorder="1" applyAlignment="1" applyProtection="1">
      <alignment horizontal="center" wrapText="1"/>
      <protection locked="0"/>
    </xf>
    <xf numFmtId="0" fontId="25" fillId="0" borderId="0" xfId="0" applyFont="1" applyAlignment="1" applyProtection="1">
      <alignment horizontal="center"/>
      <protection locked="0"/>
    </xf>
    <xf numFmtId="0" fontId="25" fillId="0" borderId="10" xfId="0" applyFont="1" applyBorder="1" applyAlignment="1" applyProtection="1">
      <alignment horizontal="center"/>
      <protection locked="0"/>
    </xf>
    <xf numFmtId="0" fontId="25" fillId="0" borderId="9" xfId="0" applyFont="1" applyBorder="1" applyAlignment="1" applyProtection="1">
      <alignment horizontal="center"/>
      <protection locked="0"/>
    </xf>
    <xf numFmtId="0" fontId="26" fillId="0" borderId="54" xfId="7" applyBorder="1" applyAlignment="1" applyProtection="1">
      <alignment horizontal="center"/>
      <protection locked="0"/>
    </xf>
    <xf numFmtId="0" fontId="26" fillId="0" borderId="55" xfId="7" applyBorder="1" applyAlignment="1" applyProtection="1">
      <alignment horizontal="center"/>
      <protection locked="0"/>
    </xf>
    <xf numFmtId="0" fontId="21" fillId="7" borderId="11" xfId="0" applyFont="1" applyFill="1" applyBorder="1" applyAlignment="1" applyProtection="1">
      <alignment horizontal="center" vertical="center"/>
      <protection locked="0"/>
    </xf>
    <xf numFmtId="0" fontId="21" fillId="7" borderId="12" xfId="0" applyFont="1" applyFill="1" applyBorder="1" applyAlignment="1" applyProtection="1">
      <alignment horizontal="center" vertical="center"/>
      <protection locked="0"/>
    </xf>
    <xf numFmtId="0" fontId="21" fillId="7" borderId="13" xfId="0" applyFont="1" applyFill="1" applyBorder="1" applyAlignment="1" applyProtection="1">
      <alignment horizontal="center" vertical="center"/>
      <protection locked="0"/>
    </xf>
    <xf numFmtId="0" fontId="60" fillId="0" borderId="0" xfId="7" applyFont="1" applyAlignment="1" applyProtection="1">
      <alignment horizontal="center"/>
      <protection locked="0"/>
    </xf>
    <xf numFmtId="0" fontId="45" fillId="0" borderId="35" xfId="7" applyFont="1" applyBorder="1" applyAlignment="1" applyProtection="1">
      <alignment horizontal="center"/>
      <protection locked="0"/>
    </xf>
    <xf numFmtId="0" fontId="45" fillId="0" borderId="0" xfId="7" applyFont="1" applyAlignment="1" applyProtection="1">
      <alignment horizontal="center"/>
      <protection locked="0"/>
    </xf>
    <xf numFmtId="0" fontId="45" fillId="0" borderId="10" xfId="7" applyFont="1" applyBorder="1" applyAlignment="1" applyProtection="1">
      <alignment horizontal="center"/>
      <protection locked="0"/>
    </xf>
    <xf numFmtId="0" fontId="41" fillId="8" borderId="15" xfId="0" applyFont="1" applyFill="1" applyBorder="1" applyAlignment="1" applyProtection="1">
      <alignment horizontal="center"/>
      <protection locked="0"/>
    </xf>
    <xf numFmtId="0" fontId="41" fillId="8" borderId="38" xfId="0" applyFont="1" applyFill="1" applyBorder="1" applyAlignment="1" applyProtection="1">
      <alignment horizontal="center"/>
      <protection locked="0"/>
    </xf>
    <xf numFmtId="0" fontId="0" fillId="8" borderId="59" xfId="0" applyFill="1" applyBorder="1" applyAlignment="1" applyProtection="1">
      <alignment horizontal="center"/>
      <protection locked="0"/>
    </xf>
    <xf numFmtId="0" fontId="0" fillId="8" borderId="60" xfId="0" applyFill="1" applyBorder="1" applyAlignment="1" applyProtection="1">
      <alignment horizontal="center"/>
      <protection locked="0"/>
    </xf>
    <xf numFmtId="0" fontId="0" fillId="8" borderId="61" xfId="0" applyFill="1" applyBorder="1" applyAlignment="1" applyProtection="1">
      <alignment horizontal="center"/>
      <protection locked="0"/>
    </xf>
    <xf numFmtId="0" fontId="27" fillId="8" borderId="59" xfId="0" quotePrefix="1" applyFont="1" applyFill="1" applyBorder="1" applyAlignment="1" applyProtection="1">
      <alignment horizontal="center"/>
      <protection locked="0"/>
    </xf>
    <xf numFmtId="0" fontId="27" fillId="8" borderId="60" xfId="0" quotePrefix="1" applyFont="1" applyFill="1" applyBorder="1" applyAlignment="1" applyProtection="1">
      <alignment horizontal="center"/>
      <protection locked="0"/>
    </xf>
    <xf numFmtId="0" fontId="27" fillId="8" borderId="61" xfId="0" quotePrefix="1" applyFont="1" applyFill="1" applyBorder="1" applyAlignment="1" applyProtection="1">
      <alignment horizontal="center"/>
      <protection locked="0"/>
    </xf>
    <xf numFmtId="0" fontId="46" fillId="8" borderId="15" xfId="0" quotePrefix="1" applyFont="1" applyFill="1" applyBorder="1" applyAlignment="1" applyProtection="1">
      <alignment horizontal="center"/>
      <protection locked="0"/>
    </xf>
    <xf numFmtId="0" fontId="46" fillId="8" borderId="38" xfId="0" quotePrefix="1" applyFont="1" applyFill="1" applyBorder="1" applyAlignment="1" applyProtection="1">
      <alignment horizontal="center"/>
      <protection locked="0"/>
    </xf>
    <xf numFmtId="0" fontId="26" fillId="0" borderId="18" xfId="7" applyBorder="1" applyAlignment="1" applyProtection="1">
      <alignment horizontal="center"/>
      <protection locked="0"/>
    </xf>
    <xf numFmtId="0" fontId="26" fillId="0" borderId="35" xfId="7" applyBorder="1" applyAlignment="1" applyProtection="1">
      <alignment horizontal="center"/>
      <protection locked="0"/>
    </xf>
    <xf numFmtId="0" fontId="26" fillId="0" borderId="0" xfId="7" applyAlignment="1" applyProtection="1">
      <alignment horizontal="center"/>
      <protection locked="0"/>
    </xf>
    <xf numFmtId="0" fontId="26" fillId="0" borderId="10" xfId="7" applyBorder="1" applyAlignment="1" applyProtection="1">
      <alignment horizontal="center"/>
      <protection locked="0"/>
    </xf>
    <xf numFmtId="0" fontId="26" fillId="0" borderId="35" xfId="7" applyBorder="1" applyAlignment="1" applyProtection="1">
      <alignment horizontal="center"/>
    </xf>
    <xf numFmtId="0" fontId="26" fillId="0" borderId="0" xfId="7" applyAlignment="1" applyProtection="1">
      <alignment horizontal="center"/>
    </xf>
    <xf numFmtId="0" fontId="26" fillId="0" borderId="0" xfId="7" applyBorder="1" applyAlignment="1" applyProtection="1">
      <alignment horizontal="center"/>
    </xf>
    <xf numFmtId="0" fontId="0" fillId="9" borderId="59" xfId="0" applyFill="1" applyBorder="1" applyAlignment="1" applyProtection="1">
      <alignment horizontal="center"/>
      <protection locked="0"/>
    </xf>
    <xf numFmtId="0" fontId="0" fillId="9" borderId="60" xfId="0" applyFill="1" applyBorder="1" applyAlignment="1" applyProtection="1">
      <alignment horizontal="center"/>
      <protection locked="0"/>
    </xf>
    <xf numFmtId="0" fontId="0" fillId="9" borderId="61" xfId="0" applyFill="1" applyBorder="1" applyAlignment="1" applyProtection="1">
      <alignment horizontal="center"/>
      <protection locked="0"/>
    </xf>
    <xf numFmtId="0" fontId="0" fillId="14" borderId="59" xfId="0" applyFill="1" applyBorder="1" applyAlignment="1" applyProtection="1">
      <alignment horizontal="center"/>
      <protection locked="0"/>
    </xf>
    <xf numFmtId="0" fontId="0" fillId="14" borderId="60" xfId="0" applyFill="1" applyBorder="1" applyAlignment="1" applyProtection="1">
      <alignment horizontal="center"/>
      <protection locked="0"/>
    </xf>
    <xf numFmtId="0" fontId="0" fillId="14" borderId="61" xfId="0" applyFill="1" applyBorder="1" applyAlignment="1" applyProtection="1">
      <alignment horizontal="center"/>
      <protection locked="0"/>
    </xf>
    <xf numFmtId="0" fontId="27" fillId="8" borderId="74" xfId="0" quotePrefix="1" applyFont="1" applyFill="1" applyBorder="1" applyAlignment="1" applyProtection="1">
      <alignment horizontal="center"/>
      <protection locked="0"/>
    </xf>
    <xf numFmtId="0" fontId="27" fillId="8" borderId="38" xfId="0" quotePrefix="1" applyFont="1" applyFill="1" applyBorder="1" applyAlignment="1" applyProtection="1">
      <alignment horizontal="center"/>
      <protection locked="0"/>
    </xf>
    <xf numFmtId="0" fontId="27" fillId="8" borderId="39" xfId="0" quotePrefix="1" applyFont="1" applyFill="1" applyBorder="1" applyAlignment="1" applyProtection="1">
      <alignment horizontal="center"/>
      <protection locked="0"/>
    </xf>
    <xf numFmtId="0" fontId="39" fillId="14" borderId="36" xfId="0" applyFont="1" applyFill="1" applyBorder="1" applyAlignment="1" applyProtection="1">
      <alignment horizontal="left" vertical="top" wrapText="1"/>
      <protection locked="0"/>
    </xf>
    <xf numFmtId="0" fontId="26" fillId="0" borderId="65" xfId="7" applyBorder="1" applyAlignment="1" applyProtection="1">
      <alignment horizontal="center"/>
      <protection locked="0"/>
    </xf>
    <xf numFmtId="0" fontId="26" fillId="0" borderId="0" xfId="7" applyBorder="1" applyAlignment="1" applyProtection="1">
      <alignment horizontal="center"/>
      <protection locked="0"/>
    </xf>
    <xf numFmtId="0" fontId="27" fillId="8" borderId="15" xfId="0" quotePrefix="1" applyFont="1" applyFill="1" applyBorder="1" applyAlignment="1" applyProtection="1">
      <alignment horizontal="center"/>
      <protection locked="0"/>
    </xf>
    <xf numFmtId="0" fontId="27" fillId="8" borderId="25" xfId="0" quotePrefix="1" applyFont="1" applyFill="1" applyBorder="1" applyAlignment="1" applyProtection="1">
      <alignment horizontal="center"/>
      <protection locked="0"/>
    </xf>
    <xf numFmtId="0" fontId="27" fillId="8" borderId="26" xfId="0" quotePrefix="1" applyFont="1" applyFill="1" applyBorder="1" applyAlignment="1" applyProtection="1">
      <alignment horizontal="center"/>
      <protection locked="0"/>
    </xf>
    <xf numFmtId="0" fontId="11" fillId="22" borderId="6" xfId="0" applyFont="1" applyFill="1" applyBorder="1" applyAlignment="1" applyProtection="1">
      <alignment horizontal="center" vertical="center" wrapText="1"/>
      <protection locked="0"/>
    </xf>
    <xf numFmtId="0" fontId="11" fillId="22" borderId="7" xfId="0" applyFont="1" applyFill="1" applyBorder="1" applyAlignment="1" applyProtection="1">
      <alignment horizontal="center" vertical="center" wrapText="1"/>
      <protection locked="0"/>
    </xf>
    <xf numFmtId="0" fontId="11" fillId="22" borderId="8" xfId="0" applyFont="1" applyFill="1" applyBorder="1" applyAlignment="1" applyProtection="1">
      <alignment horizontal="center" vertical="center" wrapText="1"/>
      <protection locked="0"/>
    </xf>
    <xf numFmtId="0" fontId="11" fillId="22" borderId="9" xfId="0" applyFont="1" applyFill="1" applyBorder="1" applyAlignment="1" applyProtection="1">
      <alignment horizontal="center" vertical="center" wrapText="1"/>
      <protection locked="0"/>
    </xf>
    <xf numFmtId="0" fontId="11" fillId="22" borderId="0" xfId="0" applyFont="1" applyFill="1" applyAlignment="1" applyProtection="1">
      <alignment horizontal="center" vertical="center" wrapText="1"/>
      <protection locked="0"/>
    </xf>
    <xf numFmtId="0" fontId="11" fillId="22" borderId="10" xfId="0" applyFont="1" applyFill="1" applyBorder="1" applyAlignment="1" applyProtection="1">
      <alignment horizontal="center" vertical="center" wrapText="1"/>
      <protection locked="0"/>
    </xf>
    <xf numFmtId="0" fontId="11" fillId="22" borderId="11" xfId="0" applyFont="1" applyFill="1" applyBorder="1" applyAlignment="1" applyProtection="1">
      <alignment horizontal="center" vertical="center" wrapText="1"/>
      <protection locked="0"/>
    </xf>
    <xf numFmtId="0" fontId="11" fillId="22" borderId="12" xfId="0" applyFont="1" applyFill="1" applyBorder="1" applyAlignment="1" applyProtection="1">
      <alignment horizontal="center" vertical="center" wrapText="1"/>
      <protection locked="0"/>
    </xf>
    <xf numFmtId="0" fontId="11" fillId="22" borderId="13" xfId="0" applyFont="1" applyFill="1" applyBorder="1" applyAlignment="1" applyProtection="1">
      <alignment horizontal="center" vertical="center" wrapText="1"/>
      <protection locked="0"/>
    </xf>
    <xf numFmtId="0" fontId="25" fillId="7" borderId="59" xfId="0" applyFont="1" applyFill="1" applyBorder="1" applyAlignment="1" applyProtection="1">
      <alignment horizontal="center"/>
      <protection locked="0"/>
    </xf>
    <xf numFmtId="0" fontId="25" fillId="7" borderId="60" xfId="0" applyFont="1" applyFill="1" applyBorder="1" applyAlignment="1" applyProtection="1">
      <alignment horizontal="center"/>
      <protection locked="0"/>
    </xf>
    <xf numFmtId="0" fontId="25" fillId="7" borderId="61" xfId="0" applyFont="1" applyFill="1" applyBorder="1" applyAlignment="1" applyProtection="1">
      <alignment horizontal="center"/>
      <protection locked="0"/>
    </xf>
    <xf numFmtId="0" fontId="25" fillId="8" borderId="15" xfId="0" applyFont="1" applyFill="1" applyBorder="1" applyAlignment="1" applyProtection="1">
      <alignment horizontal="center"/>
      <protection locked="0"/>
    </xf>
    <xf numFmtId="0" fontId="25" fillId="8" borderId="38" xfId="0" applyFont="1" applyFill="1" applyBorder="1" applyAlignment="1" applyProtection="1">
      <alignment horizontal="center"/>
      <protection locked="0"/>
    </xf>
    <xf numFmtId="0" fontId="25" fillId="8" borderId="39" xfId="0" applyFont="1" applyFill="1" applyBorder="1" applyAlignment="1" applyProtection="1">
      <alignment horizontal="center"/>
      <protection locked="0"/>
    </xf>
    <xf numFmtId="0" fontId="60" fillId="0" borderId="0" xfId="7" applyFont="1" applyBorder="1" applyAlignment="1" applyProtection="1">
      <alignment horizontal="center" wrapText="1"/>
      <protection locked="0"/>
    </xf>
    <xf numFmtId="0" fontId="60" fillId="15" borderId="15" xfId="7" applyFont="1" applyFill="1" applyBorder="1" applyAlignment="1" applyProtection="1">
      <protection locked="0"/>
    </xf>
    <xf numFmtId="0" fontId="60" fillId="15" borderId="38" xfId="7" applyFont="1" applyFill="1" applyBorder="1" applyAlignment="1" applyProtection="1">
      <protection locked="0"/>
    </xf>
    <xf numFmtId="0" fontId="60" fillId="15" borderId="39" xfId="7" applyFont="1" applyFill="1" applyBorder="1" applyAlignment="1" applyProtection="1">
      <protection locked="0"/>
    </xf>
    <xf numFmtId="0" fontId="22" fillId="21" borderId="6" xfId="0" applyFont="1" applyFill="1" applyBorder="1" applyAlignment="1" applyProtection="1">
      <alignment horizontal="center" vertical="center" wrapText="1"/>
      <protection locked="0"/>
    </xf>
    <xf numFmtId="0" fontId="22" fillId="21" borderId="7" xfId="0" applyFont="1" applyFill="1" applyBorder="1" applyAlignment="1" applyProtection="1">
      <alignment horizontal="center" vertical="center" wrapText="1"/>
      <protection locked="0"/>
    </xf>
    <xf numFmtId="0" fontId="22" fillId="21" borderId="8" xfId="0" applyFont="1" applyFill="1" applyBorder="1" applyAlignment="1" applyProtection="1">
      <alignment horizontal="center" vertical="center" wrapText="1"/>
      <protection locked="0"/>
    </xf>
    <xf numFmtId="0" fontId="22" fillId="21" borderId="11" xfId="0" applyFont="1" applyFill="1" applyBorder="1" applyAlignment="1" applyProtection="1">
      <alignment horizontal="center" vertical="center" wrapText="1"/>
      <protection locked="0"/>
    </xf>
    <xf numFmtId="0" fontId="22" fillId="21" borderId="12" xfId="0" applyFont="1" applyFill="1" applyBorder="1" applyAlignment="1" applyProtection="1">
      <alignment horizontal="center" vertical="center" wrapText="1"/>
      <protection locked="0"/>
    </xf>
    <xf numFmtId="0" fontId="22" fillId="21" borderId="13" xfId="0" applyFont="1" applyFill="1" applyBorder="1" applyAlignment="1" applyProtection="1">
      <alignment horizontal="center" vertical="center" wrapText="1"/>
      <protection locked="0"/>
    </xf>
    <xf numFmtId="0" fontId="15" fillId="8" borderId="59" xfId="0" applyFont="1" applyFill="1" applyBorder="1" applyAlignment="1" applyProtection="1">
      <alignment horizontal="center" vertical="center"/>
      <protection locked="0"/>
    </xf>
    <xf numFmtId="0" fontId="15" fillId="8" borderId="60" xfId="0" applyFont="1" applyFill="1" applyBorder="1" applyAlignment="1" applyProtection="1">
      <alignment horizontal="center" vertical="center"/>
      <protection locked="0"/>
    </xf>
    <xf numFmtId="0" fontId="15" fillId="8" borderId="61" xfId="0" applyFont="1" applyFill="1" applyBorder="1" applyAlignment="1" applyProtection="1">
      <alignment horizontal="center" vertical="center"/>
      <protection locked="0"/>
    </xf>
    <xf numFmtId="0" fontId="15" fillId="8" borderId="12" xfId="0" applyFont="1" applyFill="1" applyBorder="1" applyAlignment="1" applyProtection="1">
      <alignment horizontal="center" vertical="center"/>
      <protection locked="0"/>
    </xf>
    <xf numFmtId="0" fontId="25" fillId="0" borderId="113" xfId="0" applyFont="1" applyBorder="1" applyAlignment="1" applyProtection="1">
      <alignment horizontal="center" wrapText="1"/>
      <protection locked="0"/>
    </xf>
    <xf numFmtId="0" fontId="25" fillId="0" borderId="48" xfId="0" applyFont="1" applyBorder="1" applyAlignment="1" applyProtection="1">
      <alignment horizontal="center"/>
      <protection locked="0"/>
    </xf>
    <xf numFmtId="0" fontId="25" fillId="0" borderId="114" xfId="0" applyFont="1" applyBorder="1" applyAlignment="1" applyProtection="1">
      <alignment horizontal="center"/>
      <protection locked="0"/>
    </xf>
    <xf numFmtId="0" fontId="25" fillId="7" borderId="59" xfId="0" applyFont="1" applyFill="1" applyBorder="1" applyAlignment="1" applyProtection="1">
      <alignment horizontal="center" vertical="center" wrapText="1"/>
      <protection locked="0"/>
    </xf>
    <xf numFmtId="0" fontId="25" fillId="7" borderId="60" xfId="0" applyFont="1" applyFill="1" applyBorder="1" applyAlignment="1" applyProtection="1">
      <alignment horizontal="center" vertical="center" wrapText="1"/>
      <protection locked="0"/>
    </xf>
    <xf numFmtId="0" fontId="25" fillId="7" borderId="61" xfId="0" applyFont="1" applyFill="1" applyBorder="1" applyAlignment="1" applyProtection="1">
      <alignment horizontal="center" vertical="center" wrapText="1"/>
      <protection locked="0"/>
    </xf>
    <xf numFmtId="0" fontId="21" fillId="7" borderId="59" xfId="0" applyFont="1" applyFill="1" applyBorder="1" applyAlignment="1" applyProtection="1">
      <alignment horizontal="center" vertical="center"/>
      <protection locked="0"/>
    </xf>
    <xf numFmtId="0" fontId="21" fillId="7" borderId="60" xfId="0" applyFont="1" applyFill="1" applyBorder="1" applyAlignment="1" applyProtection="1">
      <alignment horizontal="center" vertical="center"/>
      <protection locked="0"/>
    </xf>
    <xf numFmtId="0" fontId="21" fillId="7" borderId="61" xfId="0" applyFont="1" applyFill="1" applyBorder="1" applyAlignment="1" applyProtection="1">
      <alignment horizontal="center" vertical="center"/>
      <protection locked="0"/>
    </xf>
    <xf numFmtId="0" fontId="0" fillId="0" borderId="0" xfId="0" applyAlignment="1" applyProtection="1">
      <alignment horizontal="center"/>
      <protection locked="0"/>
    </xf>
    <xf numFmtId="0" fontId="7" fillId="0" borderId="0" xfId="0" applyFont="1" applyAlignment="1">
      <alignment horizontal="left" vertical="top"/>
    </xf>
    <xf numFmtId="0" fontId="0" fillId="0" borderId="17" xfId="0" applyBorder="1" applyAlignment="1">
      <alignment horizontal="left" vertical="top" wrapText="1"/>
    </xf>
    <xf numFmtId="0" fontId="0" fillId="0" borderId="19" xfId="0" applyBorder="1" applyAlignment="1">
      <alignment horizontal="left" vertical="top"/>
    </xf>
    <xf numFmtId="0" fontId="0" fillId="0" borderId="20" xfId="0" applyBorder="1" applyAlignment="1">
      <alignment horizontal="left" vertical="top"/>
    </xf>
    <xf numFmtId="0" fontId="0" fillId="0" borderId="37" xfId="0" applyBorder="1" applyAlignment="1">
      <alignment horizontal="left" vertical="top"/>
    </xf>
    <xf numFmtId="0" fontId="0" fillId="0" borderId="0" xfId="0" applyAlignment="1">
      <alignment horizontal="left" vertical="top"/>
    </xf>
    <xf numFmtId="0" fontId="0" fillId="0" borderId="52" xfId="0" applyBorder="1" applyAlignment="1">
      <alignment horizontal="left" vertical="top"/>
    </xf>
    <xf numFmtId="0" fontId="0" fillId="0" borderId="53" xfId="0" applyBorder="1" applyAlignment="1">
      <alignment horizontal="left" vertical="top"/>
    </xf>
    <xf numFmtId="0" fontId="0" fillId="0" borderId="54" xfId="0" applyBorder="1" applyAlignment="1">
      <alignment horizontal="left" vertical="top"/>
    </xf>
    <xf numFmtId="0" fontId="0" fillId="0" borderId="55" xfId="0" applyBorder="1" applyAlignment="1">
      <alignment horizontal="left" vertical="top"/>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53" xfId="0" applyBorder="1" applyAlignment="1">
      <alignment horizontal="center" vertical="center"/>
    </xf>
    <xf numFmtId="0" fontId="0" fillId="0" borderId="54" xfId="0" applyBorder="1" applyAlignment="1">
      <alignment horizontal="center" vertical="center"/>
    </xf>
    <xf numFmtId="0" fontId="0" fillId="0" borderId="55" xfId="0" applyBorder="1" applyAlignment="1">
      <alignment horizontal="center" vertical="center"/>
    </xf>
    <xf numFmtId="0" fontId="0" fillId="8" borderId="0" xfId="0" applyFill="1" applyAlignment="1">
      <alignment horizontal="right"/>
    </xf>
    <xf numFmtId="0" fontId="0" fillId="8" borderId="24" xfId="0" applyFill="1" applyBorder="1" applyAlignment="1">
      <alignment horizontal="right"/>
    </xf>
    <xf numFmtId="0" fontId="0" fillId="8" borderId="15" xfId="0" applyFill="1" applyBorder="1" applyAlignment="1">
      <alignment horizontal="left" vertical="top"/>
    </xf>
    <xf numFmtId="0" fontId="0" fillId="8" borderId="38" xfId="0" applyFill="1" applyBorder="1" applyAlignment="1">
      <alignment horizontal="left" vertical="top"/>
    </xf>
    <xf numFmtId="0" fontId="0" fillId="8" borderId="39" xfId="0" applyFill="1" applyBorder="1" applyAlignment="1">
      <alignment horizontal="left" vertical="top"/>
    </xf>
    <xf numFmtId="0" fontId="5" fillId="3" borderId="3" xfId="4" applyBorder="1" applyAlignment="1">
      <alignment horizontal="center"/>
    </xf>
    <xf numFmtId="0" fontId="5" fillId="3" borderId="5" xfId="4" applyBorder="1" applyAlignment="1">
      <alignment horizontal="center"/>
    </xf>
  </cellXfs>
  <cellStyles count="8">
    <cellStyle name="20% - Accent6" xfId="6" builtinId="50"/>
    <cellStyle name="Good" xfId="3" builtinId="26"/>
    <cellStyle name="Heading 1" xfId="2" builtinId="16"/>
    <cellStyle name="Heading 3" xfId="5" builtinId="18"/>
    <cellStyle name="Hyperlink" xfId="7" builtinId="8"/>
    <cellStyle name="Input" xfId="4" builtinId="20"/>
    <cellStyle name="Normal" xfId="0" builtinId="0"/>
    <cellStyle name="Percent" xfId="1" builtinId="5"/>
  </cellStyles>
  <dxfs count="29">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0" indent="0" justifyLastLine="0" shrinkToFit="0" readingOrder="0"/>
    </dxf>
    <dxf>
      <fill>
        <patternFill>
          <bgColor theme="2" tint="-9.9948118533890809E-2"/>
        </patternFill>
      </fill>
    </dxf>
    <dxf>
      <fill>
        <patternFill>
          <bgColor theme="2" tint="-9.9948118533890809E-2"/>
        </patternFill>
      </fill>
    </dxf>
    <dxf>
      <fill>
        <patternFill patternType="solid">
          <bgColor theme="2" tint="-9.9948118533890809E-2"/>
        </patternFill>
      </fill>
    </dxf>
    <dxf>
      <fill>
        <patternFill patternType="solid">
          <bgColor theme="2" tint="-9.9948118533890809E-2"/>
        </patternFill>
      </fill>
    </dxf>
    <dxf>
      <fill>
        <patternFill patternType="solid">
          <bgColor theme="2" tint="-9.9948118533890809E-2"/>
        </patternFill>
      </fill>
    </dxf>
    <dxf>
      <fill>
        <patternFill patternType="solid">
          <bgColor theme="2" tint="-9.9948118533890809E-2"/>
        </patternFill>
      </fill>
    </dxf>
    <dxf>
      <fill>
        <patternFill patternType="solid">
          <bgColor theme="2" tint="-9.9948118533890809E-2"/>
        </patternFill>
      </fill>
    </dxf>
    <dxf>
      <fill>
        <patternFill patternType="solid">
          <bgColor theme="2" tint="-9.9948118533890809E-2"/>
        </patternFill>
      </fill>
    </dxf>
    <dxf>
      <fill>
        <patternFill patternType="solid">
          <bgColor theme="2" tint="-9.9948118533890809E-2"/>
        </patternFill>
      </fill>
    </dxf>
    <dxf>
      <fill>
        <patternFill patternType="solid">
          <bgColor theme="2" tint="-9.9948118533890809E-2"/>
        </patternFill>
      </fill>
    </dxf>
    <dxf>
      <fill>
        <patternFill patternType="solid">
          <bgColor theme="2" tint="-9.9948118533890809E-2"/>
        </patternFill>
      </fill>
    </dxf>
    <dxf>
      <fill>
        <patternFill patternType="solid">
          <bgColor theme="2" tint="-9.9948118533890809E-2"/>
        </patternFill>
      </fill>
    </dxf>
    <dxf>
      <fill>
        <patternFill patternType="solid">
          <bgColor theme="2" tint="-9.9948118533890809E-2"/>
        </patternFill>
      </fill>
    </dxf>
    <dxf>
      <fill>
        <patternFill patternType="solid">
          <bgColor theme="2" tint="-9.9948118533890809E-2"/>
        </patternFill>
      </fill>
    </dxf>
    <dxf>
      <fill>
        <patternFill patternType="solid">
          <bgColor theme="2" tint="-9.9948118533890809E-2"/>
        </patternFill>
      </fill>
    </dxf>
    <dxf>
      <fill>
        <patternFill patternType="solid">
          <bgColor theme="2" tint="-9.9948118533890809E-2"/>
        </patternFill>
      </fill>
    </dxf>
    <dxf>
      <fill>
        <patternFill>
          <bgColor theme="2" tint="-9.9948118533890809E-2"/>
        </patternFill>
      </fill>
    </dxf>
    <dxf>
      <fill>
        <patternFill patternType="solid">
          <bgColor theme="2" tint="-9.9948118533890809E-2"/>
        </patternFill>
      </fill>
    </dxf>
    <dxf>
      <fill>
        <patternFill patternType="solid">
          <bgColor theme="2" tint="-9.9948118533890809E-2"/>
        </patternFill>
      </fill>
    </dxf>
    <dxf>
      <fill>
        <patternFill patternType="solid">
          <bgColor theme="2" tint="-9.9948118533890809E-2"/>
        </patternFill>
      </fill>
    </dxf>
  </dxfs>
  <tableStyles count="0" defaultTableStyle="TableStyleMedium2" defaultPivotStyle="PivotStyleLight16"/>
  <colors>
    <mruColors>
      <color rgb="FF6699FF"/>
      <color rgb="FFCCECFF"/>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4.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5.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26.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27.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28.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29.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0.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1.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2.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3.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34.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35.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36.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37.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38.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39.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0.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1.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42.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43.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44.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45.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46.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47.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48.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49.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0.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1.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52.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53.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54.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55.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56.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57.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58.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59.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60.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Ex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Ex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Ex3.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Ex4.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Ex5.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Ex6.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Ex7.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Ex8.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Ex9.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Ex10.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Ex11.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Ex12.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CPU Cores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Charting!$C$186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Charting!$B$187:$B$192</c:f>
              <c:strCache>
                <c:ptCount val="6"/>
                <c:pt idx="0">
                  <c:v>SKU 1</c:v>
                </c:pt>
                <c:pt idx="1">
                  <c:v>SKU 2</c:v>
                </c:pt>
                <c:pt idx="2">
                  <c:v>SKU 3</c:v>
                </c:pt>
                <c:pt idx="3">
                  <c:v>SKU 4</c:v>
                </c:pt>
                <c:pt idx="4">
                  <c:v>SKU 5</c:v>
                </c:pt>
                <c:pt idx="5">
                  <c:v>SKU 6</c:v>
                </c:pt>
              </c:strCache>
            </c:strRef>
          </c:cat>
          <c:val>
            <c:numRef>
              <c:f>Charting!$C$187:$C$192</c:f>
              <c:numCache>
                <c:formatCode>0</c:formatCode>
                <c:ptCount val="6"/>
                <c:pt idx="0">
                  <c:v>53.099999999999994</c:v>
                </c:pt>
                <c:pt idx="1">
                  <c:v>142.69999999999999</c:v>
                </c:pt>
                <c:pt idx="2">
                  <c:v>142.69999999999999</c:v>
                </c:pt>
                <c:pt idx="3">
                  <c:v>193.9</c:v>
                </c:pt>
                <c:pt idx="4">
                  <c:v>385.9</c:v>
                </c:pt>
                <c:pt idx="5">
                  <c:v>1294.7</c:v>
                </c:pt>
              </c:numCache>
            </c:numRef>
          </c:val>
          <c:extLst>
            <c:ext xmlns:c16="http://schemas.microsoft.com/office/drawing/2014/chart" uri="{C3380CC4-5D6E-409C-BE32-E72D297353CC}">
              <c16:uniqueId val="{00000000-05C4-4229-A393-C8B76A98D82C}"/>
            </c:ext>
          </c:extLst>
        </c:ser>
        <c:ser>
          <c:idx val="1"/>
          <c:order val="1"/>
          <c:tx>
            <c:strRef>
              <c:f>Charting!$D$186</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Charting!$B$187:$B$192</c:f>
              <c:strCache>
                <c:ptCount val="6"/>
                <c:pt idx="0">
                  <c:v>SKU 1</c:v>
                </c:pt>
                <c:pt idx="1">
                  <c:v>SKU 2</c:v>
                </c:pt>
                <c:pt idx="2">
                  <c:v>SKU 3</c:v>
                </c:pt>
                <c:pt idx="3">
                  <c:v>SKU 4</c:v>
                </c:pt>
                <c:pt idx="4">
                  <c:v>SKU 5</c:v>
                </c:pt>
                <c:pt idx="5">
                  <c:v>SKU 6</c:v>
                </c:pt>
              </c:strCache>
            </c:strRef>
          </c:cat>
          <c:val>
            <c:numRef>
              <c:f>Charting!$D$187:$D$192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05C4-4229-A393-C8B76A98D82C}"/>
            </c:ext>
          </c:extLst>
        </c:ser>
        <c:dLbls>
          <c:showLegendKey val="0"/>
          <c:showVal val="0"/>
          <c:showCatName val="0"/>
          <c:showSerName val="0"/>
          <c:showPercent val="0"/>
          <c:showBubbleSize val="0"/>
        </c:dLbls>
        <c:gapWidth val="100"/>
        <c:overlap val="100"/>
        <c:axId val="239579904"/>
        <c:axId val="239580296"/>
      </c:barChart>
      <c:lineChart>
        <c:grouping val="standard"/>
        <c:varyColors val="0"/>
        <c:ser>
          <c:idx val="2"/>
          <c:order val="2"/>
          <c:tx>
            <c:strRef>
              <c:f>Charting!$E$186</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Charting!$B$187:$B$192</c:f>
              <c:strCache>
                <c:ptCount val="6"/>
                <c:pt idx="0">
                  <c:v>SKU 1</c:v>
                </c:pt>
                <c:pt idx="1">
                  <c:v>SKU 2</c:v>
                </c:pt>
                <c:pt idx="2">
                  <c:v>SKU 3</c:v>
                </c:pt>
                <c:pt idx="3">
                  <c:v>SKU 4</c:v>
                </c:pt>
                <c:pt idx="4">
                  <c:v>SKU 5</c:v>
                </c:pt>
                <c:pt idx="5">
                  <c:v>SKU 6</c:v>
                </c:pt>
              </c:strCache>
            </c:strRef>
          </c:cat>
          <c:val>
            <c:numRef>
              <c:f>Charting!$E$187:$E$192</c:f>
              <c:numCache>
                <c:formatCode>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05C4-4229-A393-C8B76A98D82C}"/>
            </c:ext>
          </c:extLst>
        </c:ser>
        <c:dLbls>
          <c:showLegendKey val="0"/>
          <c:showVal val="0"/>
          <c:showCatName val="0"/>
          <c:showSerName val="0"/>
          <c:showPercent val="0"/>
          <c:showBubbleSize val="0"/>
        </c:dLbls>
        <c:marker val="1"/>
        <c:smooth val="0"/>
        <c:axId val="239579904"/>
        <c:axId val="239580296"/>
      </c:lineChart>
      <c:catAx>
        <c:axId val="23957990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39580296"/>
        <c:crosses val="autoZero"/>
        <c:auto val="1"/>
        <c:lblAlgn val="ctr"/>
        <c:lblOffset val="100"/>
        <c:noMultiLvlLbl val="0"/>
      </c:catAx>
      <c:valAx>
        <c:axId val="23958029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39579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Memory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Charting!$N$186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Charting!$M$187:$M$192</c:f>
              <c:strCache>
                <c:ptCount val="6"/>
                <c:pt idx="0">
                  <c:v>SKU 1</c:v>
                </c:pt>
                <c:pt idx="1">
                  <c:v>SKU 2</c:v>
                </c:pt>
                <c:pt idx="2">
                  <c:v>SKU 3</c:v>
                </c:pt>
                <c:pt idx="3">
                  <c:v>SKU 4</c:v>
                </c:pt>
                <c:pt idx="4">
                  <c:v>SKU 5</c:v>
                </c:pt>
                <c:pt idx="5">
                  <c:v>SKU 6</c:v>
                </c:pt>
              </c:strCache>
            </c:strRef>
          </c:cat>
          <c:val>
            <c:numRef>
              <c:f>Charting!$N$187:$N$192</c:f>
              <c:numCache>
                <c:formatCode>0</c:formatCode>
                <c:ptCount val="6"/>
                <c:pt idx="0">
                  <c:v>348.79999999999995</c:v>
                </c:pt>
                <c:pt idx="1">
                  <c:v>2670.4</c:v>
                </c:pt>
                <c:pt idx="2">
                  <c:v>2670.4</c:v>
                </c:pt>
                <c:pt idx="3">
                  <c:v>2670.4</c:v>
                </c:pt>
                <c:pt idx="4">
                  <c:v>6732.8</c:v>
                </c:pt>
                <c:pt idx="5">
                  <c:v>19064</c:v>
                </c:pt>
              </c:numCache>
            </c:numRef>
          </c:val>
          <c:extLst>
            <c:ext xmlns:c16="http://schemas.microsoft.com/office/drawing/2014/chart" uri="{C3380CC4-5D6E-409C-BE32-E72D297353CC}">
              <c16:uniqueId val="{00000000-C22E-4ADC-9128-A6858C64D3B8}"/>
            </c:ext>
          </c:extLst>
        </c:ser>
        <c:ser>
          <c:idx val="1"/>
          <c:order val="1"/>
          <c:tx>
            <c:strRef>
              <c:f>Charting!$O$186</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Charting!$M$187:$M$192</c:f>
              <c:strCache>
                <c:ptCount val="6"/>
                <c:pt idx="0">
                  <c:v>SKU 1</c:v>
                </c:pt>
                <c:pt idx="1">
                  <c:v>SKU 2</c:v>
                </c:pt>
                <c:pt idx="2">
                  <c:v>SKU 3</c:v>
                </c:pt>
                <c:pt idx="3">
                  <c:v>SKU 4</c:v>
                </c:pt>
                <c:pt idx="4">
                  <c:v>SKU 5</c:v>
                </c:pt>
                <c:pt idx="5">
                  <c:v>SKU 6</c:v>
                </c:pt>
              </c:strCache>
            </c:strRef>
          </c:cat>
          <c:val>
            <c:numRef>
              <c:f>Charting!$O$187:$O$192</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C22E-4ADC-9128-A6858C64D3B8}"/>
            </c:ext>
          </c:extLst>
        </c:ser>
        <c:dLbls>
          <c:showLegendKey val="0"/>
          <c:showVal val="0"/>
          <c:showCatName val="0"/>
          <c:showSerName val="0"/>
          <c:showPercent val="0"/>
          <c:showBubbleSize val="0"/>
        </c:dLbls>
        <c:gapWidth val="100"/>
        <c:overlap val="100"/>
        <c:axId val="239581472"/>
        <c:axId val="239578728"/>
      </c:barChart>
      <c:lineChart>
        <c:grouping val="standard"/>
        <c:varyColors val="0"/>
        <c:ser>
          <c:idx val="2"/>
          <c:order val="2"/>
          <c:tx>
            <c:strRef>
              <c:f>Charting!$P$186</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Charting!$M$187:$M$192</c:f>
              <c:strCache>
                <c:ptCount val="6"/>
                <c:pt idx="0">
                  <c:v>SKU 1</c:v>
                </c:pt>
                <c:pt idx="1">
                  <c:v>SKU 2</c:v>
                </c:pt>
                <c:pt idx="2">
                  <c:v>SKU 3</c:v>
                </c:pt>
                <c:pt idx="3">
                  <c:v>SKU 4</c:v>
                </c:pt>
                <c:pt idx="4">
                  <c:v>SKU 5</c:v>
                </c:pt>
                <c:pt idx="5">
                  <c:v>SKU 6</c:v>
                </c:pt>
              </c:strCache>
            </c:strRef>
          </c:cat>
          <c:val>
            <c:numRef>
              <c:f>Charting!$P$187:$P$192</c:f>
              <c:numCache>
                <c:formatCode>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C22E-4ADC-9128-A6858C64D3B8}"/>
            </c:ext>
          </c:extLst>
        </c:ser>
        <c:dLbls>
          <c:showLegendKey val="0"/>
          <c:showVal val="0"/>
          <c:showCatName val="0"/>
          <c:showSerName val="0"/>
          <c:showPercent val="0"/>
          <c:showBubbleSize val="0"/>
        </c:dLbls>
        <c:marker val="1"/>
        <c:smooth val="0"/>
        <c:axId val="239581472"/>
        <c:axId val="239578728"/>
      </c:lineChart>
      <c:catAx>
        <c:axId val="23958147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39578728"/>
        <c:crosses val="autoZero"/>
        <c:auto val="1"/>
        <c:lblAlgn val="ctr"/>
        <c:lblOffset val="100"/>
        <c:noMultiLvlLbl val="0"/>
      </c:catAx>
      <c:valAx>
        <c:axId val="2395787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39581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TempDisk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Charting!$C$210</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Charting!$B$211:$B$216</c:f>
              <c:strCache>
                <c:ptCount val="6"/>
                <c:pt idx="0">
                  <c:v>SKU 1</c:v>
                </c:pt>
                <c:pt idx="1">
                  <c:v>SKU 2</c:v>
                </c:pt>
                <c:pt idx="2">
                  <c:v>SKU 3</c:v>
                </c:pt>
                <c:pt idx="3">
                  <c:v>SKU 4</c:v>
                </c:pt>
                <c:pt idx="4">
                  <c:v>SKU 5</c:v>
                </c:pt>
                <c:pt idx="5">
                  <c:v>SKU 6</c:v>
                </c:pt>
              </c:strCache>
            </c:strRef>
          </c:cat>
          <c:val>
            <c:numRef>
              <c:f>Charting!$C$211:$C$216</c:f>
              <c:numCache>
                <c:formatCode>0</c:formatCode>
                <c:ptCount val="6"/>
                <c:pt idx="0">
                  <c:v>3.3954468866189327</c:v>
                </c:pt>
                <c:pt idx="1">
                  <c:v>10.186340659856796</c:v>
                </c:pt>
                <c:pt idx="2">
                  <c:v>6.5192580223083496</c:v>
                </c:pt>
                <c:pt idx="3">
                  <c:v>14.551915228366852</c:v>
                </c:pt>
                <c:pt idx="4">
                  <c:v>26.193447411060333</c:v>
                </c:pt>
                <c:pt idx="5">
                  <c:v>85.681676864624023</c:v>
                </c:pt>
              </c:numCache>
            </c:numRef>
          </c:val>
          <c:extLst>
            <c:ext xmlns:c16="http://schemas.microsoft.com/office/drawing/2014/chart" uri="{C3380CC4-5D6E-409C-BE32-E72D297353CC}">
              <c16:uniqueId val="{00000000-E68D-45F3-A3A7-317A7D595F97}"/>
            </c:ext>
          </c:extLst>
        </c:ser>
        <c:ser>
          <c:idx val="1"/>
          <c:order val="1"/>
          <c:tx>
            <c:strRef>
              <c:f>Charting!$D$210</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Charting!$B$211:$B$216</c:f>
              <c:strCache>
                <c:ptCount val="6"/>
                <c:pt idx="0">
                  <c:v>SKU 1</c:v>
                </c:pt>
                <c:pt idx="1">
                  <c:v>SKU 2</c:v>
                </c:pt>
                <c:pt idx="2">
                  <c:v>SKU 3</c:v>
                </c:pt>
                <c:pt idx="3">
                  <c:v>SKU 4</c:v>
                </c:pt>
                <c:pt idx="4">
                  <c:v>SKU 5</c:v>
                </c:pt>
                <c:pt idx="5">
                  <c:v>SKU 6</c:v>
                </c:pt>
              </c:strCache>
            </c:strRef>
          </c:cat>
          <c:val>
            <c:numRef>
              <c:f>Charting!$D$211:$D$216</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E68D-45F3-A3A7-317A7D595F97}"/>
            </c:ext>
          </c:extLst>
        </c:ser>
        <c:dLbls>
          <c:showLegendKey val="0"/>
          <c:showVal val="0"/>
          <c:showCatName val="0"/>
          <c:showSerName val="0"/>
          <c:showPercent val="0"/>
          <c:showBubbleSize val="0"/>
        </c:dLbls>
        <c:gapWidth val="101"/>
        <c:overlap val="100"/>
        <c:axId val="239580688"/>
        <c:axId val="416564976"/>
      </c:barChart>
      <c:lineChart>
        <c:grouping val="standard"/>
        <c:varyColors val="0"/>
        <c:ser>
          <c:idx val="2"/>
          <c:order val="2"/>
          <c:tx>
            <c:strRef>
              <c:f>Charting!$E$210</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Charting!$B$211:$B$216</c:f>
              <c:strCache>
                <c:ptCount val="6"/>
                <c:pt idx="0">
                  <c:v>SKU 1</c:v>
                </c:pt>
                <c:pt idx="1">
                  <c:v>SKU 2</c:v>
                </c:pt>
                <c:pt idx="2">
                  <c:v>SKU 3</c:v>
                </c:pt>
                <c:pt idx="3">
                  <c:v>SKU 4</c:v>
                </c:pt>
                <c:pt idx="4">
                  <c:v>SKU 5</c:v>
                </c:pt>
                <c:pt idx="5">
                  <c:v>SKU 6</c:v>
                </c:pt>
              </c:strCache>
            </c:strRef>
          </c:cat>
          <c:val>
            <c:numRef>
              <c:f>Charting!$E$211:$E$216</c:f>
              <c:numCache>
                <c:formatCode>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E68D-45F3-A3A7-317A7D595F97}"/>
            </c:ext>
          </c:extLst>
        </c:ser>
        <c:dLbls>
          <c:showLegendKey val="0"/>
          <c:showVal val="0"/>
          <c:showCatName val="0"/>
          <c:showSerName val="0"/>
          <c:showPercent val="0"/>
          <c:showBubbleSize val="0"/>
        </c:dLbls>
        <c:marker val="1"/>
        <c:smooth val="0"/>
        <c:axId val="239580688"/>
        <c:axId val="416564976"/>
      </c:lineChart>
      <c:catAx>
        <c:axId val="2395806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4976"/>
        <c:crosses val="autoZero"/>
        <c:auto val="1"/>
        <c:lblAlgn val="ctr"/>
        <c:lblOffset val="100"/>
        <c:noMultiLvlLbl val="0"/>
      </c:catAx>
      <c:valAx>
        <c:axId val="41656497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39580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Storage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Charting!$N$210</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Charting!$M$211:$M$216</c:f>
              <c:strCache>
                <c:ptCount val="6"/>
                <c:pt idx="0">
                  <c:v>SKU 1</c:v>
                </c:pt>
                <c:pt idx="1">
                  <c:v>SKU 2</c:v>
                </c:pt>
                <c:pt idx="2">
                  <c:v>SKU 3</c:v>
                </c:pt>
                <c:pt idx="3">
                  <c:v>SKU 4</c:v>
                </c:pt>
                <c:pt idx="4">
                  <c:v>SKU 5</c:v>
                </c:pt>
                <c:pt idx="5">
                  <c:v>SKU 6</c:v>
                </c:pt>
              </c:strCache>
            </c:strRef>
          </c:cat>
          <c:val>
            <c:numRef>
              <c:f>Charting!$N$211:$N$216</c:f>
              <c:numCache>
                <c:formatCode>0</c:formatCode>
                <c:ptCount val="6"/>
                <c:pt idx="0">
                  <c:v>27.141053229570389</c:v>
                </c:pt>
                <c:pt idx="1">
                  <c:v>88.259097188711166</c:v>
                </c:pt>
                <c:pt idx="2">
                  <c:v>55.255353450775146</c:v>
                </c:pt>
                <c:pt idx="3">
                  <c:v>127.54926830530167</c:v>
                </c:pt>
                <c:pt idx="4">
                  <c:v>232.323057949543</c:v>
                </c:pt>
                <c:pt idx="5">
                  <c:v>767.7171230316161</c:v>
                </c:pt>
              </c:numCache>
            </c:numRef>
          </c:val>
          <c:extLst>
            <c:ext xmlns:c16="http://schemas.microsoft.com/office/drawing/2014/chart" uri="{C3380CC4-5D6E-409C-BE32-E72D297353CC}">
              <c16:uniqueId val="{00000000-D41B-414C-B3CD-1C7BBA7BC6AD}"/>
            </c:ext>
          </c:extLst>
        </c:ser>
        <c:ser>
          <c:idx val="1"/>
          <c:order val="1"/>
          <c:tx>
            <c:strRef>
              <c:f>Charting!$O$210</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Charting!$M$211:$M$216</c:f>
              <c:strCache>
                <c:ptCount val="6"/>
                <c:pt idx="0">
                  <c:v>SKU 1</c:v>
                </c:pt>
                <c:pt idx="1">
                  <c:v>SKU 2</c:v>
                </c:pt>
                <c:pt idx="2">
                  <c:v>SKU 3</c:v>
                </c:pt>
                <c:pt idx="3">
                  <c:v>SKU 4</c:v>
                </c:pt>
                <c:pt idx="4">
                  <c:v>SKU 5</c:v>
                </c:pt>
                <c:pt idx="5">
                  <c:v>SKU 6</c:v>
                </c:pt>
              </c:strCache>
            </c:strRef>
          </c:cat>
          <c:val>
            <c:numRef>
              <c:f>Charting!$O$211:$O$216</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D41B-414C-B3CD-1C7BBA7BC6AD}"/>
            </c:ext>
          </c:extLst>
        </c:ser>
        <c:dLbls>
          <c:showLegendKey val="0"/>
          <c:showVal val="0"/>
          <c:showCatName val="0"/>
          <c:showSerName val="0"/>
          <c:showPercent val="0"/>
          <c:showBubbleSize val="0"/>
        </c:dLbls>
        <c:gapWidth val="100"/>
        <c:overlap val="100"/>
        <c:axId val="416566152"/>
        <c:axId val="416564584"/>
      </c:barChart>
      <c:lineChart>
        <c:grouping val="standard"/>
        <c:varyColors val="0"/>
        <c:ser>
          <c:idx val="2"/>
          <c:order val="2"/>
          <c:tx>
            <c:strRef>
              <c:f>Charting!$P$210</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Charting!$M$211:$M$216</c:f>
              <c:strCache>
                <c:ptCount val="6"/>
                <c:pt idx="0">
                  <c:v>SKU 1</c:v>
                </c:pt>
                <c:pt idx="1">
                  <c:v>SKU 2</c:v>
                </c:pt>
                <c:pt idx="2">
                  <c:v>SKU 3</c:v>
                </c:pt>
                <c:pt idx="3">
                  <c:v>SKU 4</c:v>
                </c:pt>
                <c:pt idx="4">
                  <c:v>SKU 5</c:v>
                </c:pt>
                <c:pt idx="5">
                  <c:v>SKU 6</c:v>
                </c:pt>
              </c:strCache>
            </c:strRef>
          </c:cat>
          <c:val>
            <c:numRef>
              <c:f>Charting!$P$211:$P$216</c:f>
              <c:numCache>
                <c:formatCode>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D41B-414C-B3CD-1C7BBA7BC6AD}"/>
            </c:ext>
          </c:extLst>
        </c:ser>
        <c:dLbls>
          <c:showLegendKey val="0"/>
          <c:showVal val="0"/>
          <c:showCatName val="0"/>
          <c:showSerName val="0"/>
          <c:showPercent val="0"/>
          <c:showBubbleSize val="0"/>
        </c:dLbls>
        <c:marker val="1"/>
        <c:smooth val="0"/>
        <c:axId val="416566152"/>
        <c:axId val="416564584"/>
      </c:lineChart>
      <c:catAx>
        <c:axId val="41656615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4584"/>
        <c:crosses val="autoZero"/>
        <c:auto val="1"/>
        <c:lblAlgn val="ctr"/>
        <c:lblOffset val="100"/>
        <c:noMultiLvlLbl val="0"/>
      </c:catAx>
      <c:valAx>
        <c:axId val="416564584"/>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6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100"/>
              <a:t>Available Cores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Charting!$B$187:$B$192</c:f>
              <c:strCache>
                <c:ptCount val="6"/>
                <c:pt idx="0">
                  <c:v>SKU 1</c:v>
                </c:pt>
                <c:pt idx="1">
                  <c:v>SKU 2</c:v>
                </c:pt>
                <c:pt idx="2">
                  <c:v>SKU 3</c:v>
                </c:pt>
                <c:pt idx="3">
                  <c:v>SKU 4</c:v>
                </c:pt>
                <c:pt idx="4">
                  <c:v>SKU 5</c:v>
                </c:pt>
                <c:pt idx="5">
                  <c:v>SKU 6</c:v>
                </c:pt>
              </c:strCache>
            </c:strRef>
          </c:cat>
          <c:val>
            <c:numRef>
              <c:f>Charting!$C$187:$C$192</c:f>
              <c:numCache>
                <c:formatCode>0</c:formatCode>
                <c:ptCount val="6"/>
                <c:pt idx="0">
                  <c:v>53.099999999999994</c:v>
                </c:pt>
                <c:pt idx="1">
                  <c:v>142.69999999999999</c:v>
                </c:pt>
                <c:pt idx="2">
                  <c:v>142.69999999999999</c:v>
                </c:pt>
                <c:pt idx="3">
                  <c:v>193.9</c:v>
                </c:pt>
                <c:pt idx="4">
                  <c:v>385.9</c:v>
                </c:pt>
                <c:pt idx="5">
                  <c:v>1294.7</c:v>
                </c:pt>
              </c:numCache>
            </c:numRef>
          </c:val>
          <c:extLst>
            <c:ext xmlns:c16="http://schemas.microsoft.com/office/drawing/2014/chart" uri="{C3380CC4-5D6E-409C-BE32-E72D297353CC}">
              <c16:uniqueId val="{00000000-93D4-455A-BD59-46B9A3791216}"/>
            </c:ext>
          </c:extLst>
        </c:ser>
        <c:dLbls>
          <c:dLblPos val="inEnd"/>
          <c:showLegendKey val="0"/>
          <c:showVal val="1"/>
          <c:showCatName val="0"/>
          <c:showSerName val="0"/>
          <c:showPercent val="0"/>
          <c:showBubbleSize val="0"/>
        </c:dLbls>
        <c:gapWidth val="30"/>
        <c:overlap val="-24"/>
        <c:axId val="416565760"/>
        <c:axId val="416562624"/>
      </c:barChart>
      <c:catAx>
        <c:axId val="41656576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2624"/>
        <c:crosses val="autoZero"/>
        <c:auto val="1"/>
        <c:lblAlgn val="ctr"/>
        <c:lblOffset val="100"/>
        <c:noMultiLvlLbl val="0"/>
      </c:catAx>
      <c:valAx>
        <c:axId val="416562624"/>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57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100"/>
              <a:t>Available Memory (GB)</a:t>
            </a:r>
          </a:p>
        </c:rich>
      </c:tx>
      <c:layout>
        <c:manualLayout>
          <c:xMode val="edge"/>
          <c:yMode val="edge"/>
          <c:x val="0.15326066774404293"/>
          <c:y val="3.827749273380666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Charting!$M$187:$M$192</c:f>
              <c:strCache>
                <c:ptCount val="6"/>
                <c:pt idx="0">
                  <c:v>SKU 1</c:v>
                </c:pt>
                <c:pt idx="1">
                  <c:v>SKU 2</c:v>
                </c:pt>
                <c:pt idx="2">
                  <c:v>SKU 3</c:v>
                </c:pt>
                <c:pt idx="3">
                  <c:v>SKU 4</c:v>
                </c:pt>
                <c:pt idx="4">
                  <c:v>SKU 5</c:v>
                </c:pt>
                <c:pt idx="5">
                  <c:v>SKU 6</c:v>
                </c:pt>
              </c:strCache>
            </c:strRef>
          </c:cat>
          <c:val>
            <c:numRef>
              <c:f>Charting!$N$187:$N$192</c:f>
              <c:numCache>
                <c:formatCode>0</c:formatCode>
                <c:ptCount val="6"/>
                <c:pt idx="0">
                  <c:v>348.79999999999995</c:v>
                </c:pt>
                <c:pt idx="1">
                  <c:v>2670.4</c:v>
                </c:pt>
                <c:pt idx="2">
                  <c:v>2670.4</c:v>
                </c:pt>
                <c:pt idx="3">
                  <c:v>2670.4</c:v>
                </c:pt>
                <c:pt idx="4">
                  <c:v>6732.8</c:v>
                </c:pt>
                <c:pt idx="5">
                  <c:v>19064</c:v>
                </c:pt>
              </c:numCache>
            </c:numRef>
          </c:val>
          <c:extLst>
            <c:ext xmlns:c16="http://schemas.microsoft.com/office/drawing/2014/chart" uri="{C3380CC4-5D6E-409C-BE32-E72D297353CC}">
              <c16:uniqueId val="{00000000-6FEA-4720-BCA6-6BFCE51BCBBD}"/>
            </c:ext>
          </c:extLst>
        </c:ser>
        <c:dLbls>
          <c:dLblPos val="inEnd"/>
          <c:showLegendKey val="0"/>
          <c:showVal val="1"/>
          <c:showCatName val="0"/>
          <c:showSerName val="0"/>
          <c:showPercent val="0"/>
          <c:showBubbleSize val="0"/>
        </c:dLbls>
        <c:gapWidth val="30"/>
        <c:overlap val="-24"/>
        <c:axId val="416569288"/>
        <c:axId val="416566936"/>
      </c:barChart>
      <c:catAx>
        <c:axId val="4165692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6936"/>
        <c:crosses val="autoZero"/>
        <c:auto val="1"/>
        <c:lblAlgn val="ctr"/>
        <c:lblOffset val="100"/>
        <c:noMultiLvlLbl val="0"/>
      </c:catAx>
      <c:valAx>
        <c:axId val="41656693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92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100"/>
              <a:t>Available TempDisk (TB)</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Charting!$B$211:$B$216</c:f>
              <c:strCache>
                <c:ptCount val="6"/>
                <c:pt idx="0">
                  <c:v>SKU 1</c:v>
                </c:pt>
                <c:pt idx="1">
                  <c:v>SKU 2</c:v>
                </c:pt>
                <c:pt idx="2">
                  <c:v>SKU 3</c:v>
                </c:pt>
                <c:pt idx="3">
                  <c:v>SKU 4</c:v>
                </c:pt>
                <c:pt idx="4">
                  <c:v>SKU 5</c:v>
                </c:pt>
                <c:pt idx="5">
                  <c:v>SKU 6</c:v>
                </c:pt>
              </c:strCache>
            </c:strRef>
          </c:cat>
          <c:val>
            <c:numRef>
              <c:f>Charting!$C$211:$C$216</c:f>
              <c:numCache>
                <c:formatCode>0</c:formatCode>
                <c:ptCount val="6"/>
                <c:pt idx="0">
                  <c:v>3.3954468866189327</c:v>
                </c:pt>
                <c:pt idx="1">
                  <c:v>10.186340659856796</c:v>
                </c:pt>
                <c:pt idx="2">
                  <c:v>6.5192580223083496</c:v>
                </c:pt>
                <c:pt idx="3">
                  <c:v>14.551915228366852</c:v>
                </c:pt>
                <c:pt idx="4">
                  <c:v>26.193447411060333</c:v>
                </c:pt>
                <c:pt idx="5">
                  <c:v>85.681676864624023</c:v>
                </c:pt>
              </c:numCache>
            </c:numRef>
          </c:val>
          <c:extLst>
            <c:ext xmlns:c16="http://schemas.microsoft.com/office/drawing/2014/chart" uri="{C3380CC4-5D6E-409C-BE32-E72D297353CC}">
              <c16:uniqueId val="{00000000-AD6F-4AB2-BB89-6FBB309BE555}"/>
            </c:ext>
          </c:extLst>
        </c:ser>
        <c:dLbls>
          <c:dLblPos val="inEnd"/>
          <c:showLegendKey val="0"/>
          <c:showVal val="1"/>
          <c:showCatName val="0"/>
          <c:showSerName val="0"/>
          <c:showPercent val="0"/>
          <c:showBubbleSize val="0"/>
        </c:dLbls>
        <c:gapWidth val="30"/>
        <c:overlap val="-24"/>
        <c:axId val="416567328"/>
        <c:axId val="416563800"/>
      </c:barChart>
      <c:catAx>
        <c:axId val="41656732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3800"/>
        <c:crosses val="autoZero"/>
        <c:auto val="1"/>
        <c:lblAlgn val="ctr"/>
        <c:lblOffset val="100"/>
        <c:noMultiLvlLbl val="0"/>
      </c:catAx>
      <c:valAx>
        <c:axId val="416563800"/>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73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Storage (TB)</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Charting!$M$211:$M$216</c:f>
              <c:strCache>
                <c:ptCount val="6"/>
                <c:pt idx="0">
                  <c:v>SKU 1</c:v>
                </c:pt>
                <c:pt idx="1">
                  <c:v>SKU 2</c:v>
                </c:pt>
                <c:pt idx="2">
                  <c:v>SKU 3</c:v>
                </c:pt>
                <c:pt idx="3">
                  <c:v>SKU 4</c:v>
                </c:pt>
                <c:pt idx="4">
                  <c:v>SKU 5</c:v>
                </c:pt>
                <c:pt idx="5">
                  <c:v>SKU 6</c:v>
                </c:pt>
              </c:strCache>
            </c:strRef>
          </c:cat>
          <c:val>
            <c:numRef>
              <c:f>Charting!$N$211:$N$216</c:f>
              <c:numCache>
                <c:formatCode>0</c:formatCode>
                <c:ptCount val="6"/>
                <c:pt idx="0">
                  <c:v>27.141053229570389</c:v>
                </c:pt>
                <c:pt idx="1">
                  <c:v>88.259097188711166</c:v>
                </c:pt>
                <c:pt idx="2">
                  <c:v>55.255353450775146</c:v>
                </c:pt>
                <c:pt idx="3">
                  <c:v>127.54926830530167</c:v>
                </c:pt>
                <c:pt idx="4">
                  <c:v>232.323057949543</c:v>
                </c:pt>
                <c:pt idx="5">
                  <c:v>767.7171230316161</c:v>
                </c:pt>
              </c:numCache>
            </c:numRef>
          </c:val>
          <c:extLst>
            <c:ext xmlns:c16="http://schemas.microsoft.com/office/drawing/2014/chart" uri="{C3380CC4-5D6E-409C-BE32-E72D297353CC}">
              <c16:uniqueId val="{00000000-8515-4C08-9453-200FB48B51E1}"/>
            </c:ext>
          </c:extLst>
        </c:ser>
        <c:dLbls>
          <c:dLblPos val="inEnd"/>
          <c:showLegendKey val="0"/>
          <c:showVal val="1"/>
          <c:showCatName val="0"/>
          <c:showSerName val="0"/>
          <c:showPercent val="0"/>
          <c:showBubbleSize val="0"/>
        </c:dLbls>
        <c:gapWidth val="30"/>
        <c:overlap val="-24"/>
        <c:axId val="416563016"/>
        <c:axId val="416563408"/>
      </c:barChart>
      <c:catAx>
        <c:axId val="41656301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3408"/>
        <c:crosses val="autoZero"/>
        <c:auto val="1"/>
        <c:lblAlgn val="ctr"/>
        <c:lblOffset val="100"/>
        <c:noMultiLvlLbl val="0"/>
      </c:catAx>
      <c:valAx>
        <c:axId val="41656340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30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Number of GPUs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Charting!$X$186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Charting!$W$187:$W$192</c:f>
              <c:strCache>
                <c:ptCount val="6"/>
                <c:pt idx="0">
                  <c:v>SKU 1</c:v>
                </c:pt>
                <c:pt idx="1">
                  <c:v>SKU 2</c:v>
                </c:pt>
                <c:pt idx="2">
                  <c:v>SKU 3</c:v>
                </c:pt>
                <c:pt idx="3">
                  <c:v>SKU 4</c:v>
                </c:pt>
                <c:pt idx="4">
                  <c:v>SKU 5</c:v>
                </c:pt>
                <c:pt idx="5">
                  <c:v>SKU 6</c:v>
                </c:pt>
              </c:strCache>
            </c:strRef>
          </c:cat>
          <c:val>
            <c:numRef>
              <c:f>Charting!$X$187:$X$192</c:f>
              <c:numCache>
                <c:formatCode>General</c:formatCode>
                <c:ptCount val="6"/>
                <c:pt idx="0">
                  <c:v>0</c:v>
                </c:pt>
                <c:pt idx="1">
                  <c:v>0</c:v>
                </c:pt>
                <c:pt idx="2">
                  <c:v>0</c:v>
                </c:pt>
                <c:pt idx="3">
                  <c:v>0</c:v>
                </c:pt>
                <c:pt idx="4">
                  <c:v>0</c:v>
                </c:pt>
                <c:pt idx="5">
                  <c:v>32</c:v>
                </c:pt>
              </c:numCache>
            </c:numRef>
          </c:val>
          <c:extLst>
            <c:ext xmlns:c16="http://schemas.microsoft.com/office/drawing/2014/chart" uri="{C3380CC4-5D6E-409C-BE32-E72D297353CC}">
              <c16:uniqueId val="{00000000-CC04-4EF7-8A4A-8F22C606FB99}"/>
            </c:ext>
          </c:extLst>
        </c:ser>
        <c:dLbls>
          <c:dLblPos val="inEnd"/>
          <c:showLegendKey val="0"/>
          <c:showVal val="1"/>
          <c:showCatName val="0"/>
          <c:showSerName val="0"/>
          <c:showPercent val="0"/>
          <c:showBubbleSize val="0"/>
        </c:dLbls>
        <c:gapWidth val="100"/>
        <c:overlap val="-24"/>
        <c:axId val="420410256"/>
        <c:axId val="420411432"/>
      </c:barChart>
      <c:catAx>
        <c:axId val="42041025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1432"/>
        <c:crosses val="autoZero"/>
        <c:auto val="1"/>
        <c:lblAlgn val="ctr"/>
        <c:lblOffset val="100"/>
        <c:noMultiLvlLbl val="0"/>
      </c:catAx>
      <c:valAx>
        <c:axId val="42041143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02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GPU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Charting!$X$186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Charting!$W$187:$W$192</c:f>
              <c:strCache>
                <c:ptCount val="6"/>
                <c:pt idx="0">
                  <c:v>SKU 1</c:v>
                </c:pt>
                <c:pt idx="1">
                  <c:v>SKU 2</c:v>
                </c:pt>
                <c:pt idx="2">
                  <c:v>SKU 3</c:v>
                </c:pt>
                <c:pt idx="3">
                  <c:v>SKU 4</c:v>
                </c:pt>
                <c:pt idx="4">
                  <c:v>SKU 5</c:v>
                </c:pt>
                <c:pt idx="5">
                  <c:v>SKU 6</c:v>
                </c:pt>
              </c:strCache>
            </c:strRef>
          </c:cat>
          <c:val>
            <c:numRef>
              <c:f>Charting!$X$187:$X$192</c:f>
              <c:numCache>
                <c:formatCode>General</c:formatCode>
                <c:ptCount val="6"/>
                <c:pt idx="0">
                  <c:v>0</c:v>
                </c:pt>
                <c:pt idx="1">
                  <c:v>0</c:v>
                </c:pt>
                <c:pt idx="2">
                  <c:v>0</c:v>
                </c:pt>
                <c:pt idx="3">
                  <c:v>0</c:v>
                </c:pt>
                <c:pt idx="4">
                  <c:v>0</c:v>
                </c:pt>
                <c:pt idx="5">
                  <c:v>32</c:v>
                </c:pt>
              </c:numCache>
            </c:numRef>
          </c:val>
          <c:extLst>
            <c:ext xmlns:c16="http://schemas.microsoft.com/office/drawing/2014/chart" uri="{C3380CC4-5D6E-409C-BE32-E72D297353CC}">
              <c16:uniqueId val="{00000000-9056-403B-B091-01C3DEA2BFCB}"/>
            </c:ext>
          </c:extLst>
        </c:ser>
        <c:ser>
          <c:idx val="1"/>
          <c:order val="1"/>
          <c:tx>
            <c:strRef>
              <c:f>Charting!$Y$186</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Charting!$W$187:$W$192</c:f>
              <c:strCache>
                <c:ptCount val="6"/>
                <c:pt idx="0">
                  <c:v>SKU 1</c:v>
                </c:pt>
                <c:pt idx="1">
                  <c:v>SKU 2</c:v>
                </c:pt>
                <c:pt idx="2">
                  <c:v>SKU 3</c:v>
                </c:pt>
                <c:pt idx="3">
                  <c:v>SKU 4</c:v>
                </c:pt>
                <c:pt idx="4">
                  <c:v>SKU 5</c:v>
                </c:pt>
                <c:pt idx="5">
                  <c:v>SKU 6</c:v>
                </c:pt>
              </c:strCache>
            </c:strRef>
          </c:cat>
          <c:val>
            <c:numRef>
              <c:f>Charting!$Y$187:$Y$192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9056-403B-B091-01C3DEA2BFCB}"/>
            </c:ext>
          </c:extLst>
        </c:ser>
        <c:dLbls>
          <c:showLegendKey val="0"/>
          <c:showVal val="0"/>
          <c:showCatName val="0"/>
          <c:showSerName val="0"/>
          <c:showPercent val="0"/>
          <c:showBubbleSize val="0"/>
        </c:dLbls>
        <c:gapWidth val="219"/>
        <c:overlap val="100"/>
        <c:axId val="420407120"/>
        <c:axId val="420408688"/>
      </c:barChart>
      <c:lineChart>
        <c:grouping val="standard"/>
        <c:varyColors val="0"/>
        <c:ser>
          <c:idx val="2"/>
          <c:order val="2"/>
          <c:tx>
            <c:strRef>
              <c:f>Charting!$Z$186</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Charting!$W$187:$W$192</c:f>
              <c:strCache>
                <c:ptCount val="6"/>
                <c:pt idx="0">
                  <c:v>SKU 1</c:v>
                </c:pt>
                <c:pt idx="1">
                  <c:v>SKU 2</c:v>
                </c:pt>
                <c:pt idx="2">
                  <c:v>SKU 3</c:v>
                </c:pt>
                <c:pt idx="3">
                  <c:v>SKU 4</c:v>
                </c:pt>
                <c:pt idx="4">
                  <c:v>SKU 5</c:v>
                </c:pt>
                <c:pt idx="5">
                  <c:v>SKU 6</c:v>
                </c:pt>
              </c:strCache>
            </c:strRef>
          </c:cat>
          <c:val>
            <c:numRef>
              <c:f>Charting!$Z$187:$Z$192</c:f>
              <c:numCache>
                <c:formatCode>0%</c:formatCode>
                <c:ptCount val="6"/>
                <c:pt idx="0">
                  <c:v>0</c:v>
                </c:pt>
                <c:pt idx="1">
                  <c:v>0</c:v>
                </c:pt>
                <c:pt idx="2">
                  <c:v>0</c:v>
                </c:pt>
                <c:pt idx="3">
                  <c:v>0</c:v>
                </c:pt>
                <c:pt idx="4">
                  <c:v>0</c:v>
                </c:pt>
                <c:pt idx="5">
                  <c:v>1</c:v>
                </c:pt>
              </c:numCache>
            </c:numRef>
          </c:val>
          <c:smooth val="0"/>
          <c:extLst>
            <c:ext xmlns:c16="http://schemas.microsoft.com/office/drawing/2014/chart" uri="{C3380CC4-5D6E-409C-BE32-E72D297353CC}">
              <c16:uniqueId val="{00000002-9056-403B-B091-01C3DEA2BFCB}"/>
            </c:ext>
          </c:extLst>
        </c:ser>
        <c:dLbls>
          <c:showLegendKey val="0"/>
          <c:showVal val="1"/>
          <c:showCatName val="0"/>
          <c:showSerName val="0"/>
          <c:showPercent val="0"/>
          <c:showBubbleSize val="0"/>
        </c:dLbls>
        <c:marker val="1"/>
        <c:smooth val="0"/>
        <c:axId val="420407120"/>
        <c:axId val="420408688"/>
      </c:lineChart>
      <c:catAx>
        <c:axId val="42040712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08688"/>
        <c:crosses val="autoZero"/>
        <c:auto val="1"/>
        <c:lblAlgn val="ctr"/>
        <c:lblOffset val="100"/>
        <c:noMultiLvlLbl val="0"/>
      </c:catAx>
      <c:valAx>
        <c:axId val="42040868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07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Cores</a:t>
            </a:r>
          </a:p>
        </c:rich>
      </c:tx>
      <c:overlay val="0"/>
      <c:spPr>
        <a:noFill/>
        <a:ln>
          <a:noFill/>
        </a:ln>
        <a:effectLst/>
      </c:spPr>
      <c:txPr>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Charting!$B$87:$B$92</c:f>
              <c:strCache>
                <c:ptCount val="6"/>
                <c:pt idx="0">
                  <c:v>SKU 1</c:v>
                </c:pt>
                <c:pt idx="1">
                  <c:v>SKU 2</c:v>
                </c:pt>
                <c:pt idx="2">
                  <c:v>SKU 3</c:v>
                </c:pt>
                <c:pt idx="3">
                  <c:v>SKU 4</c:v>
                </c:pt>
                <c:pt idx="4">
                  <c:v>SKU 5</c:v>
                </c:pt>
                <c:pt idx="5">
                  <c:v>SKU 6</c:v>
                </c:pt>
              </c:strCache>
            </c:strRef>
          </c:cat>
          <c:val>
            <c:numRef>
              <c:f>Charting!$C$87:$C$92</c:f>
              <c:numCache>
                <c:formatCode>General</c:formatCode>
                <c:ptCount val="6"/>
                <c:pt idx="0">
                  <c:v>53.099999999999994</c:v>
                </c:pt>
                <c:pt idx="1">
                  <c:v>53.099999999999994</c:v>
                </c:pt>
                <c:pt idx="2">
                  <c:v>142.69999999999999</c:v>
                </c:pt>
                <c:pt idx="3">
                  <c:v>424.3</c:v>
                </c:pt>
                <c:pt idx="4">
                  <c:v>104.3</c:v>
                </c:pt>
                <c:pt idx="5">
                  <c:v>1294.7</c:v>
                </c:pt>
              </c:numCache>
            </c:numRef>
          </c:val>
          <c:extLst>
            <c:ext xmlns:c16="http://schemas.microsoft.com/office/drawing/2014/chart" uri="{C3380CC4-5D6E-409C-BE32-E72D297353CC}">
              <c16:uniqueId val="{00000000-9815-492F-83FC-0CA3ABFA40D5}"/>
            </c:ext>
          </c:extLst>
        </c:ser>
        <c:dLbls>
          <c:dLblPos val="inEnd"/>
          <c:showLegendKey val="0"/>
          <c:showVal val="1"/>
          <c:showCatName val="0"/>
          <c:showSerName val="0"/>
          <c:showPercent val="0"/>
          <c:showBubbleSize val="0"/>
        </c:dLbls>
        <c:gapWidth val="50"/>
        <c:overlap val="-24"/>
        <c:axId val="416568896"/>
        <c:axId val="416564192"/>
      </c:barChart>
      <c:catAx>
        <c:axId val="41656889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4192"/>
        <c:crosses val="autoZero"/>
        <c:auto val="1"/>
        <c:lblAlgn val="ctr"/>
        <c:lblOffset val="100"/>
        <c:noMultiLvlLbl val="0"/>
      </c:catAx>
      <c:valAx>
        <c:axId val="41656419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5688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Memory (GB)</a:t>
            </a:r>
          </a:p>
        </c:rich>
      </c:tx>
      <c:overlay val="0"/>
      <c:spPr>
        <a:noFill/>
        <a:ln>
          <a:noFill/>
        </a:ln>
        <a:effectLst/>
      </c:spPr>
      <c:txPr>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Charting!$M$87:$M$92</c:f>
              <c:strCache>
                <c:ptCount val="6"/>
                <c:pt idx="0">
                  <c:v>SKU 1</c:v>
                </c:pt>
                <c:pt idx="1">
                  <c:v>SKU 2</c:v>
                </c:pt>
                <c:pt idx="2">
                  <c:v>SKU 3</c:v>
                </c:pt>
                <c:pt idx="3">
                  <c:v>SKU 4</c:v>
                </c:pt>
                <c:pt idx="4">
                  <c:v>SKU 5</c:v>
                </c:pt>
                <c:pt idx="5">
                  <c:v>SKU 6</c:v>
                </c:pt>
              </c:strCache>
            </c:strRef>
          </c:cat>
          <c:val>
            <c:numRef>
              <c:f>Charting!$N$87:$N$92</c:f>
              <c:numCache>
                <c:formatCode>General</c:formatCode>
                <c:ptCount val="6"/>
                <c:pt idx="0">
                  <c:v>348.79999999999995</c:v>
                </c:pt>
                <c:pt idx="1">
                  <c:v>1001.5999999999999</c:v>
                </c:pt>
                <c:pt idx="2">
                  <c:v>2670.4</c:v>
                </c:pt>
                <c:pt idx="3">
                  <c:v>6008</c:v>
                </c:pt>
                <c:pt idx="4">
                  <c:v>1654.4</c:v>
                </c:pt>
                <c:pt idx="5">
                  <c:v>19064</c:v>
                </c:pt>
              </c:numCache>
            </c:numRef>
          </c:val>
          <c:extLst>
            <c:ext xmlns:c16="http://schemas.microsoft.com/office/drawing/2014/chart" uri="{C3380CC4-5D6E-409C-BE32-E72D297353CC}">
              <c16:uniqueId val="{00000000-5365-4C46-BBFF-3D36B14519BE}"/>
            </c:ext>
          </c:extLst>
        </c:ser>
        <c:dLbls>
          <c:dLblPos val="inEnd"/>
          <c:showLegendKey val="0"/>
          <c:showVal val="1"/>
          <c:showCatName val="0"/>
          <c:showSerName val="0"/>
          <c:showPercent val="0"/>
          <c:showBubbleSize val="0"/>
        </c:dLbls>
        <c:gapWidth val="50"/>
        <c:overlap val="-24"/>
        <c:axId val="417716944"/>
        <c:axId val="417714984"/>
      </c:barChart>
      <c:catAx>
        <c:axId val="41771694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4984"/>
        <c:crosses val="autoZero"/>
        <c:auto val="1"/>
        <c:lblAlgn val="ctr"/>
        <c:lblOffset val="100"/>
        <c:noMultiLvlLbl val="0"/>
      </c:catAx>
      <c:valAx>
        <c:axId val="4177149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69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TempDisk (TB)</a:t>
            </a:r>
          </a:p>
        </c:rich>
      </c:tx>
      <c:overlay val="0"/>
      <c:spPr>
        <a:noFill/>
        <a:ln>
          <a:noFill/>
        </a:ln>
        <a:effectLst/>
      </c:spPr>
      <c:txPr>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Charting!$B$114:$B$119</c:f>
              <c:strCache>
                <c:ptCount val="6"/>
                <c:pt idx="0">
                  <c:v>SKU 1</c:v>
                </c:pt>
                <c:pt idx="1">
                  <c:v>SKU 2</c:v>
                </c:pt>
                <c:pt idx="2">
                  <c:v>SKU 3</c:v>
                </c:pt>
                <c:pt idx="3">
                  <c:v>SKU 4</c:v>
                </c:pt>
                <c:pt idx="4">
                  <c:v>SKU 5</c:v>
                </c:pt>
                <c:pt idx="5">
                  <c:v>SKU 6</c:v>
                </c:pt>
              </c:strCache>
            </c:strRef>
          </c:cat>
          <c:val>
            <c:numRef>
              <c:f>Charting!$C$114:$C$119</c:f>
              <c:numCache>
                <c:formatCode>0.0</c:formatCode>
                <c:ptCount val="6"/>
                <c:pt idx="0">
                  <c:v>3.3954468866189327</c:v>
                </c:pt>
                <c:pt idx="1">
                  <c:v>5.0931703299283981</c:v>
                </c:pt>
                <c:pt idx="2">
                  <c:v>6.5192580223083496</c:v>
                </c:pt>
                <c:pt idx="3">
                  <c:v>29.103830456733704</c:v>
                </c:pt>
                <c:pt idx="4">
                  <c:v>8.7311491370201111</c:v>
                </c:pt>
                <c:pt idx="5">
                  <c:v>85.681676864624023</c:v>
                </c:pt>
              </c:numCache>
            </c:numRef>
          </c:val>
          <c:extLst>
            <c:ext xmlns:c16="http://schemas.microsoft.com/office/drawing/2014/chart" uri="{C3380CC4-5D6E-409C-BE32-E72D297353CC}">
              <c16:uniqueId val="{00000000-95AB-4018-AD4F-665559B12129}"/>
            </c:ext>
          </c:extLst>
        </c:ser>
        <c:dLbls>
          <c:dLblPos val="inEnd"/>
          <c:showLegendKey val="0"/>
          <c:showVal val="1"/>
          <c:showCatName val="0"/>
          <c:showSerName val="0"/>
          <c:showPercent val="0"/>
          <c:showBubbleSize val="0"/>
        </c:dLbls>
        <c:gapWidth val="50"/>
        <c:overlap val="-24"/>
        <c:axId val="417720864"/>
        <c:axId val="417718120"/>
      </c:barChart>
      <c:catAx>
        <c:axId val="41772086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8120"/>
        <c:crosses val="autoZero"/>
        <c:auto val="1"/>
        <c:lblAlgn val="ctr"/>
        <c:lblOffset val="100"/>
        <c:noMultiLvlLbl val="0"/>
      </c:catAx>
      <c:valAx>
        <c:axId val="417718120"/>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208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a:t>
            </a:r>
            <a:r>
              <a:rPr lang="en-US" sz="1200" baseline="0"/>
              <a:t> Disk (TB)</a:t>
            </a:r>
            <a:endParaRPr lang="en-US" sz="1200"/>
          </a:p>
        </c:rich>
      </c:tx>
      <c:overlay val="0"/>
      <c:spPr>
        <a:noFill/>
        <a:ln>
          <a:noFill/>
        </a:ln>
        <a:effectLst/>
      </c:spPr>
      <c:txPr>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Charting!$M$114:$M$119</c:f>
              <c:strCache>
                <c:ptCount val="6"/>
                <c:pt idx="0">
                  <c:v>SKU 1</c:v>
                </c:pt>
                <c:pt idx="1">
                  <c:v>SKU 2</c:v>
                </c:pt>
                <c:pt idx="2">
                  <c:v>SKU 3</c:v>
                </c:pt>
                <c:pt idx="3">
                  <c:v>SKU 4</c:v>
                </c:pt>
                <c:pt idx="4">
                  <c:v>SKU 5</c:v>
                </c:pt>
                <c:pt idx="5">
                  <c:v>SKU 6</c:v>
                </c:pt>
              </c:strCache>
            </c:strRef>
          </c:cat>
          <c:val>
            <c:numRef>
              <c:f>Charting!$N$114:$N$119</c:f>
              <c:numCache>
                <c:formatCode>0.0</c:formatCode>
                <c:ptCount val="6"/>
                <c:pt idx="0">
                  <c:v>27.141053229570389</c:v>
                </c:pt>
                <c:pt idx="1">
                  <c:v>42.420564219355583</c:v>
                </c:pt>
                <c:pt idx="2">
                  <c:v>55.255353450775146</c:v>
                </c:pt>
                <c:pt idx="3">
                  <c:v>258.51650536060333</c:v>
                </c:pt>
                <c:pt idx="4">
                  <c:v>75.162373483181</c:v>
                </c:pt>
                <c:pt idx="5">
                  <c:v>767.7171230316161</c:v>
                </c:pt>
              </c:numCache>
            </c:numRef>
          </c:val>
          <c:extLst>
            <c:ext xmlns:c16="http://schemas.microsoft.com/office/drawing/2014/chart" uri="{C3380CC4-5D6E-409C-BE32-E72D297353CC}">
              <c16:uniqueId val="{00000000-4313-47C0-BAAF-B714387EA281}"/>
            </c:ext>
          </c:extLst>
        </c:ser>
        <c:dLbls>
          <c:dLblPos val="inEnd"/>
          <c:showLegendKey val="0"/>
          <c:showVal val="1"/>
          <c:showCatName val="0"/>
          <c:showSerName val="0"/>
          <c:showPercent val="0"/>
          <c:showBubbleSize val="0"/>
        </c:dLbls>
        <c:gapWidth val="50"/>
        <c:overlap val="-24"/>
        <c:axId val="417715376"/>
        <c:axId val="417716160"/>
      </c:barChart>
      <c:catAx>
        <c:axId val="41771537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6160"/>
        <c:crosses val="autoZero"/>
        <c:auto val="1"/>
        <c:lblAlgn val="ctr"/>
        <c:lblOffset val="100"/>
        <c:noMultiLvlLbl val="0"/>
      </c:catAx>
      <c:valAx>
        <c:axId val="417716160"/>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53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TempDisk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Charting!$C$113</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Charting!$B$114:$B$119</c:f>
              <c:strCache>
                <c:ptCount val="6"/>
                <c:pt idx="0">
                  <c:v>SKU 1</c:v>
                </c:pt>
                <c:pt idx="1">
                  <c:v>SKU 2</c:v>
                </c:pt>
                <c:pt idx="2">
                  <c:v>SKU 3</c:v>
                </c:pt>
                <c:pt idx="3">
                  <c:v>SKU 4</c:v>
                </c:pt>
                <c:pt idx="4">
                  <c:v>SKU 5</c:v>
                </c:pt>
                <c:pt idx="5">
                  <c:v>SKU 6</c:v>
                </c:pt>
              </c:strCache>
            </c:strRef>
          </c:cat>
          <c:val>
            <c:numRef>
              <c:f>Charting!$C$114:$C$119</c:f>
              <c:numCache>
                <c:formatCode>0.0</c:formatCode>
                <c:ptCount val="6"/>
                <c:pt idx="0">
                  <c:v>3.3954468866189327</c:v>
                </c:pt>
                <c:pt idx="1">
                  <c:v>5.0931703299283981</c:v>
                </c:pt>
                <c:pt idx="2">
                  <c:v>6.5192580223083496</c:v>
                </c:pt>
                <c:pt idx="3">
                  <c:v>29.103830456733704</c:v>
                </c:pt>
                <c:pt idx="4">
                  <c:v>8.7311491370201111</c:v>
                </c:pt>
                <c:pt idx="5">
                  <c:v>85.681676864624023</c:v>
                </c:pt>
              </c:numCache>
            </c:numRef>
          </c:val>
          <c:extLst>
            <c:ext xmlns:c16="http://schemas.microsoft.com/office/drawing/2014/chart" uri="{C3380CC4-5D6E-409C-BE32-E72D297353CC}">
              <c16:uniqueId val="{00000000-BD9A-4BE4-835C-589EB039DE7D}"/>
            </c:ext>
          </c:extLst>
        </c:ser>
        <c:ser>
          <c:idx val="1"/>
          <c:order val="1"/>
          <c:tx>
            <c:strRef>
              <c:f>Charting!$D$113</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Charting!$B$114:$B$119</c:f>
              <c:strCache>
                <c:ptCount val="6"/>
                <c:pt idx="0">
                  <c:v>SKU 1</c:v>
                </c:pt>
                <c:pt idx="1">
                  <c:v>SKU 2</c:v>
                </c:pt>
                <c:pt idx="2">
                  <c:v>SKU 3</c:v>
                </c:pt>
                <c:pt idx="3">
                  <c:v>SKU 4</c:v>
                </c:pt>
                <c:pt idx="4">
                  <c:v>SKU 5</c:v>
                </c:pt>
                <c:pt idx="5">
                  <c:v>SKU 6</c:v>
                </c:pt>
              </c:strCache>
            </c:strRef>
          </c:cat>
          <c:val>
            <c:numRef>
              <c:f>Charting!$D$114:$D$119</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BD9A-4BE4-835C-589EB039DE7D}"/>
            </c:ext>
          </c:extLst>
        </c:ser>
        <c:dLbls>
          <c:showLegendKey val="0"/>
          <c:showVal val="0"/>
          <c:showCatName val="0"/>
          <c:showSerName val="0"/>
          <c:showPercent val="0"/>
          <c:showBubbleSize val="0"/>
        </c:dLbls>
        <c:gapWidth val="100"/>
        <c:overlap val="100"/>
        <c:axId val="417715768"/>
        <c:axId val="417713416"/>
      </c:barChart>
      <c:lineChart>
        <c:grouping val="standard"/>
        <c:varyColors val="0"/>
        <c:ser>
          <c:idx val="2"/>
          <c:order val="2"/>
          <c:tx>
            <c:strRef>
              <c:f>Charting!$E$113</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Charting!$B$114:$B$119</c:f>
              <c:strCache>
                <c:ptCount val="6"/>
                <c:pt idx="0">
                  <c:v>SKU 1</c:v>
                </c:pt>
                <c:pt idx="1">
                  <c:v>SKU 2</c:v>
                </c:pt>
                <c:pt idx="2">
                  <c:v>SKU 3</c:v>
                </c:pt>
                <c:pt idx="3">
                  <c:v>SKU 4</c:v>
                </c:pt>
                <c:pt idx="4">
                  <c:v>SKU 5</c:v>
                </c:pt>
                <c:pt idx="5">
                  <c:v>SKU 6</c:v>
                </c:pt>
              </c:strCache>
            </c:strRef>
          </c:cat>
          <c:val>
            <c:numRef>
              <c:f>Charting!$E$114:$E$119</c:f>
              <c:numCache>
                <c:formatCode>0.0%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BD9A-4BE4-835C-589EB039DE7D}"/>
            </c:ext>
          </c:extLst>
        </c:ser>
        <c:dLbls>
          <c:showLegendKey val="0"/>
          <c:showVal val="0"/>
          <c:showCatName val="0"/>
          <c:showSerName val="0"/>
          <c:showPercent val="0"/>
          <c:showBubbleSize val="0"/>
        </c:dLbls>
        <c:marker val="1"/>
        <c:smooth val="0"/>
        <c:axId val="417715768"/>
        <c:axId val="417713416"/>
      </c:lineChart>
      <c:catAx>
        <c:axId val="4177157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3416"/>
        <c:crosses val="autoZero"/>
        <c:auto val="1"/>
        <c:lblAlgn val="ctr"/>
        <c:lblOffset val="100"/>
        <c:noMultiLvlLbl val="0"/>
      </c:catAx>
      <c:valAx>
        <c:axId val="41771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5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CPU Cores per SKU</a:t>
            </a:r>
          </a:p>
        </c:rich>
      </c:tx>
      <c:layout>
        <c:manualLayout>
          <c:xMode val="edge"/>
          <c:yMode val="edge"/>
          <c:x val="0.13269333593362748"/>
          <c:y val="2.110817941952506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Charting!$C$86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Charting!$B$87:$B$92</c:f>
              <c:strCache>
                <c:ptCount val="6"/>
                <c:pt idx="0">
                  <c:v>SKU 1</c:v>
                </c:pt>
                <c:pt idx="1">
                  <c:v>SKU 2</c:v>
                </c:pt>
                <c:pt idx="2">
                  <c:v>SKU 3</c:v>
                </c:pt>
                <c:pt idx="3">
                  <c:v>SKU 4</c:v>
                </c:pt>
                <c:pt idx="4">
                  <c:v>SKU 5</c:v>
                </c:pt>
                <c:pt idx="5">
                  <c:v>SKU 6</c:v>
                </c:pt>
              </c:strCache>
            </c:strRef>
          </c:cat>
          <c:val>
            <c:numRef>
              <c:f>Charting!$C$87:$C$92</c:f>
              <c:numCache>
                <c:formatCode>General</c:formatCode>
                <c:ptCount val="6"/>
                <c:pt idx="0">
                  <c:v>53.099999999999994</c:v>
                </c:pt>
                <c:pt idx="1">
                  <c:v>53.099999999999994</c:v>
                </c:pt>
                <c:pt idx="2">
                  <c:v>142.69999999999999</c:v>
                </c:pt>
                <c:pt idx="3">
                  <c:v>424.3</c:v>
                </c:pt>
                <c:pt idx="4">
                  <c:v>104.3</c:v>
                </c:pt>
                <c:pt idx="5">
                  <c:v>1294.7</c:v>
                </c:pt>
              </c:numCache>
            </c:numRef>
          </c:val>
          <c:extLst>
            <c:ext xmlns:c16="http://schemas.microsoft.com/office/drawing/2014/chart" uri="{C3380CC4-5D6E-409C-BE32-E72D297353CC}">
              <c16:uniqueId val="{00000000-395D-4403-A823-F0B543C358B3}"/>
            </c:ext>
          </c:extLst>
        </c:ser>
        <c:ser>
          <c:idx val="1"/>
          <c:order val="1"/>
          <c:tx>
            <c:strRef>
              <c:f>Charting!$D$86</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Charting!$B$87:$B$92</c:f>
              <c:strCache>
                <c:ptCount val="6"/>
                <c:pt idx="0">
                  <c:v>SKU 1</c:v>
                </c:pt>
                <c:pt idx="1">
                  <c:v>SKU 2</c:v>
                </c:pt>
                <c:pt idx="2">
                  <c:v>SKU 3</c:v>
                </c:pt>
                <c:pt idx="3">
                  <c:v>SKU 4</c:v>
                </c:pt>
                <c:pt idx="4">
                  <c:v>SKU 5</c:v>
                </c:pt>
                <c:pt idx="5">
                  <c:v>SKU 6</c:v>
                </c:pt>
              </c:strCache>
            </c:strRef>
          </c:cat>
          <c:val>
            <c:numRef>
              <c:f>Charting!$D$87:$D$92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395D-4403-A823-F0B543C358B3}"/>
            </c:ext>
          </c:extLst>
        </c:ser>
        <c:dLbls>
          <c:showLegendKey val="0"/>
          <c:showVal val="0"/>
          <c:showCatName val="0"/>
          <c:showSerName val="0"/>
          <c:showPercent val="0"/>
          <c:showBubbleSize val="0"/>
        </c:dLbls>
        <c:gapWidth val="100"/>
        <c:overlap val="100"/>
        <c:axId val="417718512"/>
        <c:axId val="417713808"/>
      </c:barChart>
      <c:lineChart>
        <c:grouping val="standard"/>
        <c:varyColors val="0"/>
        <c:ser>
          <c:idx val="2"/>
          <c:order val="2"/>
          <c:tx>
            <c:strRef>
              <c:f>Charting!$E$86</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Charting!$B$87:$B$92</c:f>
              <c:strCache>
                <c:ptCount val="6"/>
                <c:pt idx="0">
                  <c:v>SKU 1</c:v>
                </c:pt>
                <c:pt idx="1">
                  <c:v>SKU 2</c:v>
                </c:pt>
                <c:pt idx="2">
                  <c:v>SKU 3</c:v>
                </c:pt>
                <c:pt idx="3">
                  <c:v>SKU 4</c:v>
                </c:pt>
                <c:pt idx="4">
                  <c:v>SKU 5</c:v>
                </c:pt>
                <c:pt idx="5">
                  <c:v>SKU 6</c:v>
                </c:pt>
              </c:strCache>
            </c:strRef>
          </c:cat>
          <c:val>
            <c:numRef>
              <c:f>Charting!$E$87:$E$92</c:f>
              <c:numCache>
                <c:formatCode>0.0%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395D-4403-A823-F0B543C358B3}"/>
            </c:ext>
          </c:extLst>
        </c:ser>
        <c:dLbls>
          <c:showLegendKey val="0"/>
          <c:showVal val="0"/>
          <c:showCatName val="0"/>
          <c:showSerName val="0"/>
          <c:showPercent val="0"/>
          <c:showBubbleSize val="0"/>
        </c:dLbls>
        <c:marker val="1"/>
        <c:smooth val="0"/>
        <c:axId val="417718512"/>
        <c:axId val="417713808"/>
      </c:lineChart>
      <c:catAx>
        <c:axId val="41771851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3808"/>
        <c:crosses val="autoZero"/>
        <c:auto val="1"/>
        <c:lblAlgn val="ctr"/>
        <c:lblOffset val="100"/>
        <c:noMultiLvlLbl val="0"/>
      </c:catAx>
      <c:valAx>
        <c:axId val="41771380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8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Memory per</a:t>
            </a:r>
            <a:r>
              <a:rPr lang="en-US" sz="1200" baseline="0"/>
              <a:t> SKU</a:t>
            </a:r>
            <a:endParaRPr lang="en-US" sz="1200"/>
          </a:p>
        </c:rich>
      </c:tx>
      <c:overlay val="0"/>
      <c:spPr>
        <a:noFill/>
        <a:ln>
          <a:noFill/>
        </a:ln>
        <a:effectLst/>
      </c:spPr>
      <c:txPr>
        <a:bodyPr rot="0" spcFirstLastPara="1" vertOverflow="ellipsis" vert="horz" wrap="square" anchor="ctr" anchorCtr="1"/>
        <a:lstStyle/>
        <a:p>
          <a:pPr>
            <a:defRPr sz="1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Charting!$N$86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Charting!$M$87:$M$92</c:f>
              <c:strCache>
                <c:ptCount val="6"/>
                <c:pt idx="0">
                  <c:v>SKU 1</c:v>
                </c:pt>
                <c:pt idx="1">
                  <c:v>SKU 2</c:v>
                </c:pt>
                <c:pt idx="2">
                  <c:v>SKU 3</c:v>
                </c:pt>
                <c:pt idx="3">
                  <c:v>SKU 4</c:v>
                </c:pt>
                <c:pt idx="4">
                  <c:v>SKU 5</c:v>
                </c:pt>
                <c:pt idx="5">
                  <c:v>SKU 6</c:v>
                </c:pt>
              </c:strCache>
            </c:strRef>
          </c:cat>
          <c:val>
            <c:numRef>
              <c:f>Charting!$N$87:$N$92</c:f>
              <c:numCache>
                <c:formatCode>General</c:formatCode>
                <c:ptCount val="6"/>
                <c:pt idx="0">
                  <c:v>348.79999999999995</c:v>
                </c:pt>
                <c:pt idx="1">
                  <c:v>1001.5999999999999</c:v>
                </c:pt>
                <c:pt idx="2">
                  <c:v>2670.4</c:v>
                </c:pt>
                <c:pt idx="3">
                  <c:v>6008</c:v>
                </c:pt>
                <c:pt idx="4">
                  <c:v>1654.4</c:v>
                </c:pt>
                <c:pt idx="5">
                  <c:v>19064</c:v>
                </c:pt>
              </c:numCache>
            </c:numRef>
          </c:val>
          <c:extLst>
            <c:ext xmlns:c16="http://schemas.microsoft.com/office/drawing/2014/chart" uri="{C3380CC4-5D6E-409C-BE32-E72D297353CC}">
              <c16:uniqueId val="{00000000-5E72-4C66-9683-8C427327BEEB}"/>
            </c:ext>
          </c:extLst>
        </c:ser>
        <c:ser>
          <c:idx val="1"/>
          <c:order val="1"/>
          <c:tx>
            <c:strRef>
              <c:f>Charting!$O$86</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Charting!$M$87:$M$92</c:f>
              <c:strCache>
                <c:ptCount val="6"/>
                <c:pt idx="0">
                  <c:v>SKU 1</c:v>
                </c:pt>
                <c:pt idx="1">
                  <c:v>SKU 2</c:v>
                </c:pt>
                <c:pt idx="2">
                  <c:v>SKU 3</c:v>
                </c:pt>
                <c:pt idx="3">
                  <c:v>SKU 4</c:v>
                </c:pt>
                <c:pt idx="4">
                  <c:v>SKU 5</c:v>
                </c:pt>
                <c:pt idx="5">
                  <c:v>SKU 6</c:v>
                </c:pt>
              </c:strCache>
            </c:strRef>
          </c:cat>
          <c:val>
            <c:numRef>
              <c:f>Charting!$O$87:$O$92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5E72-4C66-9683-8C427327BEEB}"/>
            </c:ext>
          </c:extLst>
        </c:ser>
        <c:dLbls>
          <c:showLegendKey val="0"/>
          <c:showVal val="0"/>
          <c:showCatName val="0"/>
          <c:showSerName val="0"/>
          <c:showPercent val="0"/>
          <c:showBubbleSize val="0"/>
        </c:dLbls>
        <c:gapWidth val="100"/>
        <c:overlap val="100"/>
        <c:axId val="417714200"/>
        <c:axId val="417719296"/>
      </c:barChart>
      <c:lineChart>
        <c:grouping val="standard"/>
        <c:varyColors val="0"/>
        <c:ser>
          <c:idx val="2"/>
          <c:order val="2"/>
          <c:tx>
            <c:strRef>
              <c:f>Charting!$P$86</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Charting!$M$87:$M$92</c:f>
              <c:strCache>
                <c:ptCount val="6"/>
                <c:pt idx="0">
                  <c:v>SKU 1</c:v>
                </c:pt>
                <c:pt idx="1">
                  <c:v>SKU 2</c:v>
                </c:pt>
                <c:pt idx="2">
                  <c:v>SKU 3</c:v>
                </c:pt>
                <c:pt idx="3">
                  <c:v>SKU 4</c:v>
                </c:pt>
                <c:pt idx="4">
                  <c:v>SKU 5</c:v>
                </c:pt>
                <c:pt idx="5">
                  <c:v>SKU 6</c:v>
                </c:pt>
              </c:strCache>
            </c:strRef>
          </c:cat>
          <c:val>
            <c:numRef>
              <c:f>Charting!$P$87:$P$92</c:f>
              <c:numCache>
                <c:formatCode>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5E72-4C66-9683-8C427327BEEB}"/>
            </c:ext>
          </c:extLst>
        </c:ser>
        <c:dLbls>
          <c:showLegendKey val="0"/>
          <c:showVal val="0"/>
          <c:showCatName val="0"/>
          <c:showSerName val="0"/>
          <c:showPercent val="0"/>
          <c:showBubbleSize val="0"/>
        </c:dLbls>
        <c:marker val="1"/>
        <c:smooth val="0"/>
        <c:axId val="417714200"/>
        <c:axId val="417719296"/>
      </c:lineChart>
      <c:catAx>
        <c:axId val="41771420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9296"/>
        <c:crosses val="autoZero"/>
        <c:auto val="1"/>
        <c:lblAlgn val="ctr"/>
        <c:lblOffset val="100"/>
        <c:noMultiLvlLbl val="0"/>
      </c:catAx>
      <c:valAx>
        <c:axId val="41771929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4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Disk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Charting!$N$113</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Charting!$M$114:$M$119</c:f>
              <c:strCache>
                <c:ptCount val="6"/>
                <c:pt idx="0">
                  <c:v>SKU 1</c:v>
                </c:pt>
                <c:pt idx="1">
                  <c:v>SKU 2</c:v>
                </c:pt>
                <c:pt idx="2">
                  <c:v>SKU 3</c:v>
                </c:pt>
                <c:pt idx="3">
                  <c:v>SKU 4</c:v>
                </c:pt>
                <c:pt idx="4">
                  <c:v>SKU 5</c:v>
                </c:pt>
                <c:pt idx="5">
                  <c:v>SKU 6</c:v>
                </c:pt>
              </c:strCache>
            </c:strRef>
          </c:cat>
          <c:val>
            <c:numRef>
              <c:f>Charting!$N$114:$N$119</c:f>
              <c:numCache>
                <c:formatCode>0.0</c:formatCode>
                <c:ptCount val="6"/>
                <c:pt idx="0">
                  <c:v>27.141053229570389</c:v>
                </c:pt>
                <c:pt idx="1">
                  <c:v>42.420564219355583</c:v>
                </c:pt>
                <c:pt idx="2">
                  <c:v>55.255353450775146</c:v>
                </c:pt>
                <c:pt idx="3">
                  <c:v>258.51650536060333</c:v>
                </c:pt>
                <c:pt idx="4">
                  <c:v>75.162373483181</c:v>
                </c:pt>
                <c:pt idx="5">
                  <c:v>767.7171230316161</c:v>
                </c:pt>
              </c:numCache>
            </c:numRef>
          </c:val>
          <c:extLst>
            <c:ext xmlns:c16="http://schemas.microsoft.com/office/drawing/2014/chart" uri="{C3380CC4-5D6E-409C-BE32-E72D297353CC}">
              <c16:uniqueId val="{00000000-00B7-431F-BC10-D0A04C3E2BDB}"/>
            </c:ext>
          </c:extLst>
        </c:ser>
        <c:ser>
          <c:idx val="1"/>
          <c:order val="1"/>
          <c:tx>
            <c:strRef>
              <c:f>Charting!$O$113</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Charting!$M$114:$M$119</c:f>
              <c:strCache>
                <c:ptCount val="6"/>
                <c:pt idx="0">
                  <c:v>SKU 1</c:v>
                </c:pt>
                <c:pt idx="1">
                  <c:v>SKU 2</c:v>
                </c:pt>
                <c:pt idx="2">
                  <c:v>SKU 3</c:v>
                </c:pt>
                <c:pt idx="3">
                  <c:v>SKU 4</c:v>
                </c:pt>
                <c:pt idx="4">
                  <c:v>SKU 5</c:v>
                </c:pt>
                <c:pt idx="5">
                  <c:v>SKU 6</c:v>
                </c:pt>
              </c:strCache>
            </c:strRef>
          </c:cat>
          <c:val>
            <c:numRef>
              <c:f>Charting!$O$114:$O$119</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00B7-431F-BC10-D0A04C3E2BDB}"/>
            </c:ext>
          </c:extLst>
        </c:ser>
        <c:dLbls>
          <c:showLegendKey val="0"/>
          <c:showVal val="0"/>
          <c:showCatName val="0"/>
          <c:showSerName val="0"/>
          <c:showPercent val="0"/>
          <c:showBubbleSize val="0"/>
        </c:dLbls>
        <c:gapWidth val="100"/>
        <c:overlap val="100"/>
        <c:axId val="417720080"/>
        <c:axId val="417714592"/>
      </c:barChart>
      <c:lineChart>
        <c:grouping val="standard"/>
        <c:varyColors val="0"/>
        <c:ser>
          <c:idx val="2"/>
          <c:order val="2"/>
          <c:tx>
            <c:strRef>
              <c:f>Charting!$P$113</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Charting!$M$114:$M$119</c:f>
              <c:strCache>
                <c:ptCount val="6"/>
                <c:pt idx="0">
                  <c:v>SKU 1</c:v>
                </c:pt>
                <c:pt idx="1">
                  <c:v>SKU 2</c:v>
                </c:pt>
                <c:pt idx="2">
                  <c:v>SKU 3</c:v>
                </c:pt>
                <c:pt idx="3">
                  <c:v>SKU 4</c:v>
                </c:pt>
                <c:pt idx="4">
                  <c:v>SKU 5</c:v>
                </c:pt>
                <c:pt idx="5">
                  <c:v>SKU 6</c:v>
                </c:pt>
              </c:strCache>
            </c:strRef>
          </c:cat>
          <c:val>
            <c:numRef>
              <c:f>Charting!$P$114:$P$119</c:f>
              <c:numCache>
                <c:formatCode>0.0%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00B7-431F-BC10-D0A04C3E2BDB}"/>
            </c:ext>
          </c:extLst>
        </c:ser>
        <c:dLbls>
          <c:showLegendKey val="0"/>
          <c:showVal val="0"/>
          <c:showCatName val="0"/>
          <c:showSerName val="0"/>
          <c:showPercent val="0"/>
          <c:showBubbleSize val="0"/>
        </c:dLbls>
        <c:marker val="1"/>
        <c:smooth val="0"/>
        <c:axId val="417720080"/>
        <c:axId val="417714592"/>
      </c:lineChart>
      <c:catAx>
        <c:axId val="41772008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14592"/>
        <c:crosses val="autoZero"/>
        <c:auto val="1"/>
        <c:lblAlgn val="ctr"/>
        <c:lblOffset val="100"/>
        <c:noMultiLvlLbl val="0"/>
      </c:catAx>
      <c:valAx>
        <c:axId val="41771459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720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solidFill>
                  <a:schemeClr val="accent1">
                    <a:lumMod val="75000"/>
                  </a:schemeClr>
                </a:solidFill>
              </a:rPr>
              <a:t>CPU Core Consumption</a:t>
            </a:r>
          </a:p>
        </c:rich>
      </c:tx>
      <c:layout>
        <c:manualLayout>
          <c:xMode val="edge"/>
          <c:yMode val="edge"/>
          <c:x val="1.0951224846894153E-2"/>
          <c:y val="2.3148148148148147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0555555555555555E-2"/>
          <c:y val="0.23491462145712874"/>
          <c:w val="0.76579037540423556"/>
          <c:h val="0.54033014104493737"/>
        </c:manualLayout>
      </c:layout>
      <c:pie3D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extLst>
              <c:ext xmlns:c16="http://schemas.microsoft.com/office/drawing/2014/chart" uri="{C3380CC4-5D6E-409C-BE32-E72D297353CC}">
                <c16:uniqueId val="{00000001-3294-45CA-816F-8769B9D8447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sp3d/>
            </c:spPr>
            <c:extLst>
              <c:ext xmlns:c16="http://schemas.microsoft.com/office/drawing/2014/chart" uri="{C3380CC4-5D6E-409C-BE32-E72D297353CC}">
                <c16:uniqueId val="{00000003-3294-45CA-816F-8769B9D8447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sp3d/>
            </c:spPr>
            <c:extLst>
              <c:ext xmlns:c16="http://schemas.microsoft.com/office/drawing/2014/chart" uri="{C3380CC4-5D6E-409C-BE32-E72D297353CC}">
                <c16:uniqueId val="{00000005-3294-45CA-816F-8769B9D8447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sp3d/>
            </c:spPr>
            <c:extLst>
              <c:ext xmlns:c16="http://schemas.microsoft.com/office/drawing/2014/chart" uri="{C3380CC4-5D6E-409C-BE32-E72D297353CC}">
                <c16:uniqueId val="{00000007-3294-45CA-816F-8769B9D8447C}"/>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sp3d/>
            </c:spPr>
            <c:extLst>
              <c:ext xmlns:c16="http://schemas.microsoft.com/office/drawing/2014/chart" uri="{C3380CC4-5D6E-409C-BE32-E72D297353CC}">
                <c16:uniqueId val="{00000009-3294-45CA-816F-8769B9D8447C}"/>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sp3d/>
            </c:spPr>
            <c:extLst>
              <c:ext xmlns:c16="http://schemas.microsoft.com/office/drawing/2014/chart" uri="{C3380CC4-5D6E-409C-BE32-E72D297353CC}">
                <c16:uniqueId val="{0000000B-3294-45CA-816F-8769B9D8447C}"/>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sp3d/>
            </c:spPr>
            <c:extLst>
              <c:ext xmlns:c16="http://schemas.microsoft.com/office/drawing/2014/chart" uri="{C3380CC4-5D6E-409C-BE32-E72D297353CC}">
                <c16:uniqueId val="{0000000D-3294-45CA-816F-8769B9D8447C}"/>
              </c:ext>
            </c:extLst>
          </c:dPt>
          <c:dLbls>
            <c:delete val="1"/>
          </c:dLbls>
          <c:cat>
            <c:strRef>
              <c:f>Charting!$C$137:$C$143</c:f>
              <c:strCache>
                <c:ptCount val="7"/>
                <c:pt idx="0">
                  <c:v>Workload 1</c:v>
                </c:pt>
                <c:pt idx="1">
                  <c:v>Workload 2</c:v>
                </c:pt>
                <c:pt idx="2">
                  <c:v>Workload 3</c:v>
                </c:pt>
                <c:pt idx="3">
                  <c:v>Workload 4</c:v>
                </c:pt>
                <c:pt idx="4">
                  <c:v>Workload 5</c:v>
                </c:pt>
                <c:pt idx="5">
                  <c:v>Workload 6</c:v>
                </c:pt>
                <c:pt idx="6">
                  <c:v>Unused</c:v>
                </c:pt>
              </c:strCache>
            </c:strRef>
          </c:cat>
          <c:val>
            <c:numRef>
              <c:f>Charting!$F$137:$F$143</c:f>
              <c:numCache>
                <c:formatCode>General</c:formatCode>
                <c:ptCount val="7"/>
                <c:pt idx="0">
                  <c:v>0</c:v>
                </c:pt>
                <c:pt idx="1">
                  <c:v>0</c:v>
                </c:pt>
                <c:pt idx="2">
                  <c:v>0</c:v>
                </c:pt>
                <c:pt idx="3">
                  <c:v>0</c:v>
                </c:pt>
                <c:pt idx="4">
                  <c:v>0</c:v>
                </c:pt>
                <c:pt idx="5">
                  <c:v>0</c:v>
                </c:pt>
                <c:pt idx="6">
                  <c:v>1294.7</c:v>
                </c:pt>
              </c:numCache>
            </c:numRef>
          </c:val>
          <c:extLst>
            <c:ext xmlns:c16="http://schemas.microsoft.com/office/drawing/2014/chart" uri="{C3380CC4-5D6E-409C-BE32-E72D297353CC}">
              <c16:uniqueId val="{0000000E-3294-45CA-816F-8769B9D8447C}"/>
            </c:ext>
          </c:extLst>
        </c:ser>
        <c:dLbls>
          <c:dLblPos val="inEnd"/>
          <c:showLegendKey val="0"/>
          <c:showVal val="0"/>
          <c:showCatName val="1"/>
          <c:showSerName val="0"/>
          <c:showPercent val="0"/>
          <c:showBubbleSize val="0"/>
          <c:showLeaderLines val="1"/>
        </c:dLbls>
      </c:pie3DChart>
      <c:spPr>
        <a:noFill/>
        <a:ln>
          <a:noFill/>
        </a:ln>
        <a:effectLst/>
      </c:spPr>
    </c:plotArea>
    <c:legend>
      <c:legendPos val="b"/>
      <c:layout>
        <c:manualLayout>
          <c:xMode val="edge"/>
          <c:yMode val="edge"/>
          <c:x val="0.7559455793517621"/>
          <c:y val="5.69616350341191E-2"/>
          <c:w val="0.23294366902112348"/>
          <c:h val="0.90566302625954453"/>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baseline="0">
                <a:solidFill>
                  <a:schemeClr val="accent1">
                    <a:lumMod val="75000"/>
                  </a:schemeClr>
                </a:solidFill>
              </a:rPr>
              <a:t>Memory Consumption</a:t>
            </a:r>
          </a:p>
        </c:rich>
      </c:tx>
      <c:layout>
        <c:manualLayout>
          <c:xMode val="edge"/>
          <c:yMode val="edge"/>
          <c:x val="3.0601116873499309E-2"/>
          <c:y val="2.3960216998191678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1292519018213234E-2"/>
          <c:y val="0.28431446221769069"/>
          <c:w val="0.75948486270080662"/>
          <c:h val="0.53909461982259443"/>
        </c:manualLayout>
      </c:layout>
      <c:pie3D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BC75-4321-B0DD-CBBEEC7E50BF}"/>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BC75-4321-B0DD-CBBEEC7E50BF}"/>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BC75-4321-B0DD-CBBEEC7E50BF}"/>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BC75-4321-B0DD-CBBEEC7E50BF}"/>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BC75-4321-B0DD-CBBEEC7E50BF}"/>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BC75-4321-B0DD-CBBEEC7E50BF}"/>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BC75-4321-B0DD-CBBEEC7E50BF}"/>
              </c:ext>
            </c:extLst>
          </c:dPt>
          <c:dLbls>
            <c:delete val="1"/>
          </c:dLbls>
          <c:cat>
            <c:strRef>
              <c:f>Charting!$C$137:$C$143</c:f>
              <c:strCache>
                <c:ptCount val="7"/>
                <c:pt idx="0">
                  <c:v>Workload 1</c:v>
                </c:pt>
                <c:pt idx="1">
                  <c:v>Workload 2</c:v>
                </c:pt>
                <c:pt idx="2">
                  <c:v>Workload 3</c:v>
                </c:pt>
                <c:pt idx="3">
                  <c:v>Workload 4</c:v>
                </c:pt>
                <c:pt idx="4">
                  <c:v>Workload 5</c:v>
                </c:pt>
                <c:pt idx="5">
                  <c:v>Workload 6</c:v>
                </c:pt>
                <c:pt idx="6">
                  <c:v>Unused</c:v>
                </c:pt>
              </c:strCache>
            </c:strRef>
          </c:cat>
          <c:val>
            <c:numRef>
              <c:f>Charting!$E$137:$E$143</c:f>
              <c:numCache>
                <c:formatCode>General</c:formatCode>
                <c:ptCount val="7"/>
                <c:pt idx="0">
                  <c:v>0</c:v>
                </c:pt>
                <c:pt idx="1">
                  <c:v>0</c:v>
                </c:pt>
                <c:pt idx="2">
                  <c:v>0</c:v>
                </c:pt>
                <c:pt idx="3">
                  <c:v>0</c:v>
                </c:pt>
                <c:pt idx="4">
                  <c:v>0</c:v>
                </c:pt>
                <c:pt idx="5">
                  <c:v>0</c:v>
                </c:pt>
                <c:pt idx="6">
                  <c:v>19064</c:v>
                </c:pt>
              </c:numCache>
            </c:numRef>
          </c:val>
          <c:extLst>
            <c:ext xmlns:c16="http://schemas.microsoft.com/office/drawing/2014/chart" uri="{C3380CC4-5D6E-409C-BE32-E72D297353CC}">
              <c16:uniqueId val="{0000000E-BC75-4321-B0DD-CBBEEC7E50BF}"/>
            </c:ext>
          </c:extLst>
        </c:ser>
        <c:dLbls>
          <c:dLblPos val="inEnd"/>
          <c:showLegendKey val="0"/>
          <c:showVal val="0"/>
          <c:showCatName val="0"/>
          <c:showSerName val="0"/>
          <c:showPercent val="1"/>
          <c:showBubbleSize val="0"/>
          <c:showLeaderLines val="1"/>
        </c:dLbls>
      </c:pie3DChart>
      <c:spPr>
        <a:noFill/>
        <a:ln>
          <a:noFill/>
        </a:ln>
        <a:effectLst/>
      </c:spPr>
    </c:plotArea>
    <c:legend>
      <c:legendPos val="b"/>
      <c:layout>
        <c:manualLayout>
          <c:xMode val="edge"/>
          <c:yMode val="edge"/>
          <c:x val="0.74262816789144503"/>
          <c:y val="4.208591006595154E-2"/>
          <c:w val="0.23529739048932796"/>
          <c:h val="0.92534776902887139"/>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baseline="0">
                <a:solidFill>
                  <a:schemeClr val="accent1">
                    <a:lumMod val="75000"/>
                  </a:schemeClr>
                </a:solidFill>
              </a:rPr>
              <a:t>Temp Disk Consumption</a:t>
            </a:r>
          </a:p>
        </c:rich>
      </c:tx>
      <c:layout>
        <c:manualLayout>
          <c:xMode val="edge"/>
          <c:yMode val="edge"/>
          <c:x val="1.8999989144294866E-2"/>
          <c:y val="2.6584638185698794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0555555555555555E-2"/>
          <c:y val="0.22467592592592592"/>
          <c:w val="0.78486868131302512"/>
          <c:h val="0.55466770733353721"/>
        </c:manualLayout>
      </c:layout>
      <c:pie3D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6DAB-4BCF-ABCE-ED2507CDC3B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6DAB-4BCF-ABCE-ED2507CDC3B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6DAB-4BCF-ABCE-ED2507CDC3B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6DAB-4BCF-ABCE-ED2507CDC3B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6DAB-4BCF-ABCE-ED2507CDC3B0}"/>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6DAB-4BCF-ABCE-ED2507CDC3B0}"/>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6DAB-4BCF-ABCE-ED2507CDC3B0}"/>
              </c:ext>
            </c:extLst>
          </c:dPt>
          <c:cat>
            <c:strRef>
              <c:f>Charting!$C$137:$C$143</c:f>
              <c:strCache>
                <c:ptCount val="7"/>
                <c:pt idx="0">
                  <c:v>Workload 1</c:v>
                </c:pt>
                <c:pt idx="1">
                  <c:v>Workload 2</c:v>
                </c:pt>
                <c:pt idx="2">
                  <c:v>Workload 3</c:v>
                </c:pt>
                <c:pt idx="3">
                  <c:v>Workload 4</c:v>
                </c:pt>
                <c:pt idx="4">
                  <c:v>Workload 5</c:v>
                </c:pt>
                <c:pt idx="5">
                  <c:v>Workload 6</c:v>
                </c:pt>
                <c:pt idx="6">
                  <c:v>Unused</c:v>
                </c:pt>
              </c:strCache>
            </c:strRef>
          </c:cat>
          <c:val>
            <c:numRef>
              <c:f>Charting!$D$137:$D$143</c:f>
              <c:numCache>
                <c:formatCode>General</c:formatCode>
                <c:ptCount val="7"/>
                <c:pt idx="0">
                  <c:v>0</c:v>
                </c:pt>
                <c:pt idx="1">
                  <c:v>0</c:v>
                </c:pt>
                <c:pt idx="2">
                  <c:v>0</c:v>
                </c:pt>
                <c:pt idx="3">
                  <c:v>0</c:v>
                </c:pt>
                <c:pt idx="4">
                  <c:v>0</c:v>
                </c:pt>
                <c:pt idx="5">
                  <c:v>0</c:v>
                </c:pt>
                <c:pt idx="6" formatCode="0">
                  <c:v>87738.037109375</c:v>
                </c:pt>
              </c:numCache>
            </c:numRef>
          </c:val>
          <c:extLst>
            <c:ext xmlns:c16="http://schemas.microsoft.com/office/drawing/2014/chart" uri="{C3380CC4-5D6E-409C-BE32-E72D297353CC}">
              <c16:uniqueId val="{0000000E-6DAB-4BCF-ABCE-ED2507CDC3B0}"/>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0.75447667872081869"/>
          <c:y val="4.5681552611723776E-2"/>
          <c:w val="0.22861662551391915"/>
          <c:h val="0.91145888013998255"/>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baseline="0">
                <a:solidFill>
                  <a:schemeClr val="accent1">
                    <a:lumMod val="75000"/>
                  </a:schemeClr>
                </a:solidFill>
              </a:rPr>
              <a:t>Storage Consumption</a:t>
            </a:r>
          </a:p>
        </c:rich>
      </c:tx>
      <c:layout>
        <c:manualLayout>
          <c:xMode val="edge"/>
          <c:yMode val="edge"/>
          <c:x val="2.3551791754233969E-2"/>
          <c:y val="3.0040818257484704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22778716553348322"/>
          <c:w val="0.85743550979651084"/>
          <c:h val="0.54161647910052635"/>
        </c:manualLayout>
      </c:layout>
      <c:pie3D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7A0B-4246-911F-8B982C097D5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7A0B-4246-911F-8B982C097D57}"/>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7A0B-4246-911F-8B982C097D57}"/>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7A0B-4246-911F-8B982C097D57}"/>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7A0B-4246-911F-8B982C097D57}"/>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7A0B-4246-911F-8B982C097D57}"/>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7A0B-4246-911F-8B982C097D57}"/>
              </c:ext>
            </c:extLst>
          </c:dPt>
          <c:cat>
            <c:strRef>
              <c:f>Charting!$C$137:$C$143</c:f>
              <c:strCache>
                <c:ptCount val="7"/>
                <c:pt idx="0">
                  <c:v>Workload 1</c:v>
                </c:pt>
                <c:pt idx="1">
                  <c:v>Workload 2</c:v>
                </c:pt>
                <c:pt idx="2">
                  <c:v>Workload 3</c:v>
                </c:pt>
                <c:pt idx="3">
                  <c:v>Workload 4</c:v>
                </c:pt>
                <c:pt idx="4">
                  <c:v>Workload 5</c:v>
                </c:pt>
                <c:pt idx="5">
                  <c:v>Workload 6</c:v>
                </c:pt>
                <c:pt idx="6">
                  <c:v>Unused</c:v>
                </c:pt>
              </c:strCache>
            </c:strRef>
          </c:cat>
          <c:val>
            <c:numRef>
              <c:f>Charting!$G$137:$G$143</c:f>
              <c:numCache>
                <c:formatCode>General</c:formatCode>
                <c:ptCount val="7"/>
                <c:pt idx="0">
                  <c:v>0</c:v>
                </c:pt>
                <c:pt idx="1">
                  <c:v>0</c:v>
                </c:pt>
                <c:pt idx="2">
                  <c:v>0</c:v>
                </c:pt>
                <c:pt idx="3">
                  <c:v>0</c:v>
                </c:pt>
                <c:pt idx="4">
                  <c:v>0</c:v>
                </c:pt>
                <c:pt idx="5">
                  <c:v>0</c:v>
                </c:pt>
                <c:pt idx="6" formatCode="0">
                  <c:v>786142.33398437488</c:v>
                </c:pt>
              </c:numCache>
            </c:numRef>
          </c:val>
          <c:extLst>
            <c:ext xmlns:c16="http://schemas.microsoft.com/office/drawing/2014/chart" uri="{C3380CC4-5D6E-409C-BE32-E72D297353CC}">
              <c16:uniqueId val="{0000000E-7A0B-4246-911F-8B982C097D57}"/>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0.75081827544742274"/>
          <c:y val="4.8699916556659457E-2"/>
          <c:w val="0.23694276508227366"/>
          <c:h val="0.89557465067903863"/>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a:t>
            </a:r>
            <a:r>
              <a:rPr lang="en-US" sz="1200" baseline="0"/>
              <a:t> Number of GPUs</a:t>
            </a:r>
            <a:endParaRPr lang="en-US" sz="1200"/>
          </a:p>
        </c:rich>
      </c:tx>
      <c:overlay val="0"/>
      <c:spPr>
        <a:noFill/>
        <a:ln>
          <a:noFill/>
        </a:ln>
        <a:effectLst/>
      </c:spPr>
      <c:txPr>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Charting!$X$113</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Charting!$W$114:$W$119</c:f>
              <c:strCache>
                <c:ptCount val="6"/>
                <c:pt idx="0">
                  <c:v>SKU 1</c:v>
                </c:pt>
                <c:pt idx="1">
                  <c:v>SKU 2</c:v>
                </c:pt>
                <c:pt idx="2">
                  <c:v>SKU 3</c:v>
                </c:pt>
                <c:pt idx="3">
                  <c:v>SKU 4</c:v>
                </c:pt>
                <c:pt idx="4">
                  <c:v>SKU 5</c:v>
                </c:pt>
                <c:pt idx="5">
                  <c:v>SKU 6</c:v>
                </c:pt>
              </c:strCache>
            </c:strRef>
          </c:cat>
          <c:val>
            <c:numRef>
              <c:f>Charting!$X$114:$X$119</c:f>
              <c:numCache>
                <c:formatCode>General</c:formatCode>
                <c:ptCount val="6"/>
                <c:pt idx="0">
                  <c:v>0</c:v>
                </c:pt>
                <c:pt idx="1">
                  <c:v>0</c:v>
                </c:pt>
                <c:pt idx="2">
                  <c:v>0</c:v>
                </c:pt>
                <c:pt idx="3">
                  <c:v>0</c:v>
                </c:pt>
                <c:pt idx="4">
                  <c:v>0</c:v>
                </c:pt>
                <c:pt idx="5">
                  <c:v>32</c:v>
                </c:pt>
              </c:numCache>
            </c:numRef>
          </c:val>
          <c:extLst>
            <c:ext xmlns:c16="http://schemas.microsoft.com/office/drawing/2014/chart" uri="{C3380CC4-5D6E-409C-BE32-E72D297353CC}">
              <c16:uniqueId val="{00000000-98C2-4B19-AAF6-8235E1DC230B}"/>
            </c:ext>
          </c:extLst>
        </c:ser>
        <c:dLbls>
          <c:dLblPos val="inEnd"/>
          <c:showLegendKey val="0"/>
          <c:showVal val="1"/>
          <c:showCatName val="0"/>
          <c:showSerName val="0"/>
          <c:showPercent val="0"/>
          <c:showBubbleSize val="0"/>
        </c:dLbls>
        <c:gapWidth val="100"/>
        <c:overlap val="-24"/>
        <c:axId val="420606064"/>
        <c:axId val="420606848"/>
      </c:barChart>
      <c:catAx>
        <c:axId val="42060606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6848"/>
        <c:crosses val="autoZero"/>
        <c:auto val="1"/>
        <c:lblAlgn val="ctr"/>
        <c:lblOffset val="100"/>
        <c:noMultiLvlLbl val="0"/>
      </c:catAx>
      <c:valAx>
        <c:axId val="42060684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60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GPU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Charting!$X$113</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Charting!$W$114:$W$119</c:f>
              <c:strCache>
                <c:ptCount val="6"/>
                <c:pt idx="0">
                  <c:v>SKU 1</c:v>
                </c:pt>
                <c:pt idx="1">
                  <c:v>SKU 2</c:v>
                </c:pt>
                <c:pt idx="2">
                  <c:v>SKU 3</c:v>
                </c:pt>
                <c:pt idx="3">
                  <c:v>SKU 4</c:v>
                </c:pt>
                <c:pt idx="4">
                  <c:v>SKU 5</c:v>
                </c:pt>
                <c:pt idx="5">
                  <c:v>SKU 6</c:v>
                </c:pt>
              </c:strCache>
            </c:strRef>
          </c:cat>
          <c:val>
            <c:numRef>
              <c:f>Charting!$X$114:$X$119</c:f>
              <c:numCache>
                <c:formatCode>General</c:formatCode>
                <c:ptCount val="6"/>
                <c:pt idx="0">
                  <c:v>0</c:v>
                </c:pt>
                <c:pt idx="1">
                  <c:v>0</c:v>
                </c:pt>
                <c:pt idx="2">
                  <c:v>0</c:v>
                </c:pt>
                <c:pt idx="3">
                  <c:v>0</c:v>
                </c:pt>
                <c:pt idx="4">
                  <c:v>0</c:v>
                </c:pt>
                <c:pt idx="5">
                  <c:v>32</c:v>
                </c:pt>
              </c:numCache>
            </c:numRef>
          </c:val>
          <c:extLst>
            <c:ext xmlns:c16="http://schemas.microsoft.com/office/drawing/2014/chart" uri="{C3380CC4-5D6E-409C-BE32-E72D297353CC}">
              <c16:uniqueId val="{00000000-22A5-4205-B695-509702000EA3}"/>
            </c:ext>
          </c:extLst>
        </c:ser>
        <c:ser>
          <c:idx val="1"/>
          <c:order val="1"/>
          <c:tx>
            <c:strRef>
              <c:f>Charting!$Y$113</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Charting!$W$114:$W$119</c:f>
              <c:strCache>
                <c:ptCount val="6"/>
                <c:pt idx="0">
                  <c:v>SKU 1</c:v>
                </c:pt>
                <c:pt idx="1">
                  <c:v>SKU 2</c:v>
                </c:pt>
                <c:pt idx="2">
                  <c:v>SKU 3</c:v>
                </c:pt>
                <c:pt idx="3">
                  <c:v>SKU 4</c:v>
                </c:pt>
                <c:pt idx="4">
                  <c:v>SKU 5</c:v>
                </c:pt>
                <c:pt idx="5">
                  <c:v>SKU 6</c:v>
                </c:pt>
              </c:strCache>
            </c:strRef>
          </c:cat>
          <c:val>
            <c:numRef>
              <c:f>Charting!$Y$114:$Y$119</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22A5-4205-B695-509702000EA3}"/>
            </c:ext>
          </c:extLst>
        </c:ser>
        <c:dLbls>
          <c:showLegendKey val="0"/>
          <c:showVal val="0"/>
          <c:showCatName val="0"/>
          <c:showSerName val="0"/>
          <c:showPercent val="0"/>
          <c:showBubbleSize val="0"/>
        </c:dLbls>
        <c:gapWidth val="219"/>
        <c:overlap val="100"/>
        <c:axId val="420604888"/>
        <c:axId val="420606456"/>
      </c:barChart>
      <c:lineChart>
        <c:grouping val="standard"/>
        <c:varyColors val="0"/>
        <c:ser>
          <c:idx val="2"/>
          <c:order val="2"/>
          <c:tx>
            <c:strRef>
              <c:f>Charting!$Z$113</c:f>
              <c:strCache>
                <c:ptCount val="1"/>
                <c:pt idx="0">
                  <c:v>%Available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Charting!$W$114:$W$119</c:f>
              <c:strCache>
                <c:ptCount val="6"/>
                <c:pt idx="0">
                  <c:v>SKU 1</c:v>
                </c:pt>
                <c:pt idx="1">
                  <c:v>SKU 2</c:v>
                </c:pt>
                <c:pt idx="2">
                  <c:v>SKU 3</c:v>
                </c:pt>
                <c:pt idx="3">
                  <c:v>SKU 4</c:v>
                </c:pt>
                <c:pt idx="4">
                  <c:v>SKU 5</c:v>
                </c:pt>
                <c:pt idx="5">
                  <c:v>SKU 6</c:v>
                </c:pt>
              </c:strCache>
            </c:strRef>
          </c:cat>
          <c:val>
            <c:numRef>
              <c:f>Charting!$Z$114:$Z$119</c:f>
              <c:numCache>
                <c:formatCode>0%</c:formatCode>
                <c:ptCount val="6"/>
                <c:pt idx="0">
                  <c:v>0</c:v>
                </c:pt>
                <c:pt idx="1">
                  <c:v>0</c:v>
                </c:pt>
                <c:pt idx="2">
                  <c:v>0</c:v>
                </c:pt>
                <c:pt idx="3">
                  <c:v>0</c:v>
                </c:pt>
                <c:pt idx="4">
                  <c:v>0</c:v>
                </c:pt>
                <c:pt idx="5">
                  <c:v>1</c:v>
                </c:pt>
              </c:numCache>
            </c:numRef>
          </c:val>
          <c:smooth val="0"/>
          <c:extLst>
            <c:ext xmlns:c16="http://schemas.microsoft.com/office/drawing/2014/chart" uri="{C3380CC4-5D6E-409C-BE32-E72D297353CC}">
              <c16:uniqueId val="{00000002-22A5-4205-B695-509702000EA3}"/>
            </c:ext>
          </c:extLst>
        </c:ser>
        <c:dLbls>
          <c:showLegendKey val="0"/>
          <c:showVal val="0"/>
          <c:showCatName val="0"/>
          <c:showSerName val="0"/>
          <c:showPercent val="0"/>
          <c:showBubbleSize val="0"/>
        </c:dLbls>
        <c:marker val="1"/>
        <c:smooth val="0"/>
        <c:axId val="725496543"/>
        <c:axId val="725495711"/>
      </c:lineChart>
      <c:catAx>
        <c:axId val="4206048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6456"/>
        <c:crosses val="autoZero"/>
        <c:auto val="1"/>
        <c:lblAlgn val="ctr"/>
        <c:lblOffset val="100"/>
        <c:noMultiLvlLbl val="0"/>
      </c:catAx>
      <c:valAx>
        <c:axId val="42060645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4888"/>
        <c:crosses val="autoZero"/>
        <c:crossBetween val="between"/>
      </c:valAx>
      <c:valAx>
        <c:axId val="725495711"/>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25496543"/>
        <c:crosses val="max"/>
        <c:crossBetween val="between"/>
      </c:valAx>
      <c:catAx>
        <c:axId val="725496543"/>
        <c:scaling>
          <c:orientation val="minMax"/>
        </c:scaling>
        <c:delete val="1"/>
        <c:axPos val="b"/>
        <c:numFmt formatCode="General" sourceLinked="1"/>
        <c:majorTickMark val="out"/>
        <c:minorTickMark val="none"/>
        <c:tickLblPos val="nextTo"/>
        <c:crossAx val="72549571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solidFill>
                  <a:schemeClr val="accent1">
                    <a:lumMod val="75000"/>
                  </a:schemeClr>
                </a:solidFill>
                <a:effectLst/>
              </a:rPr>
              <a:t>% Available CPU Cores per SKU</a:t>
            </a:r>
            <a:endParaRPr lang="en-US" sz="1100">
              <a:solidFill>
                <a:schemeClr val="accent1">
                  <a:lumMod val="75000"/>
                </a:schemeClr>
              </a:solidFill>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Charting!$C$3</c:f>
              <c:strCache>
                <c:ptCount val="1"/>
                <c:pt idx="0">
                  <c:v>Available</c:v>
                </c:pt>
              </c:strCache>
            </c:strRef>
          </c:tx>
          <c:spPr>
            <a:solidFill>
              <a:schemeClr val="accent1"/>
            </a:solidFill>
            <a:ln>
              <a:noFill/>
            </a:ln>
            <a:effectLst/>
          </c:spPr>
          <c:invertIfNegative val="0"/>
          <c:cat>
            <c:strRef>
              <c:f>Charting!$B$4:$B$9</c:f>
              <c:strCache>
                <c:ptCount val="6"/>
                <c:pt idx="0">
                  <c:v>SKU1</c:v>
                </c:pt>
                <c:pt idx="1">
                  <c:v>SKU2</c:v>
                </c:pt>
                <c:pt idx="2">
                  <c:v>SKU3</c:v>
                </c:pt>
                <c:pt idx="3">
                  <c:v>SKU4</c:v>
                </c:pt>
                <c:pt idx="4">
                  <c:v>SKU5</c:v>
                </c:pt>
                <c:pt idx="5">
                  <c:v>SKU6</c:v>
                </c:pt>
              </c:strCache>
            </c:strRef>
          </c:cat>
          <c:val>
            <c:numRef>
              <c:f>Charting!$C$4:$C$9</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9838-457B-9A62-1F4FE9EDA953}"/>
            </c:ext>
          </c:extLst>
        </c:ser>
        <c:ser>
          <c:idx val="1"/>
          <c:order val="1"/>
          <c:tx>
            <c:strRef>
              <c:f>Charting!$D$3</c:f>
              <c:strCache>
                <c:ptCount val="1"/>
                <c:pt idx="0">
                  <c:v>Wordload</c:v>
                </c:pt>
              </c:strCache>
            </c:strRef>
          </c:tx>
          <c:spPr>
            <a:solidFill>
              <a:schemeClr val="accent2"/>
            </a:solidFill>
            <a:ln>
              <a:noFill/>
            </a:ln>
            <a:effectLst/>
          </c:spPr>
          <c:invertIfNegative val="0"/>
          <c:cat>
            <c:strRef>
              <c:f>Charting!$B$4:$B$9</c:f>
              <c:strCache>
                <c:ptCount val="6"/>
                <c:pt idx="0">
                  <c:v>SKU1</c:v>
                </c:pt>
                <c:pt idx="1">
                  <c:v>SKU2</c:v>
                </c:pt>
                <c:pt idx="2">
                  <c:v>SKU3</c:v>
                </c:pt>
                <c:pt idx="3">
                  <c:v>SKU4</c:v>
                </c:pt>
                <c:pt idx="4">
                  <c:v>SKU5</c:v>
                </c:pt>
                <c:pt idx="5">
                  <c:v>SKU6</c:v>
                </c:pt>
              </c:strCache>
            </c:strRef>
          </c:cat>
          <c:val>
            <c:numRef>
              <c:f>Charting!$D$4:$D$9</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9838-457B-9A62-1F4FE9EDA953}"/>
            </c:ext>
          </c:extLst>
        </c:ser>
        <c:dLbls>
          <c:showLegendKey val="0"/>
          <c:showVal val="0"/>
          <c:showCatName val="0"/>
          <c:showSerName val="0"/>
          <c:showPercent val="0"/>
          <c:showBubbleSize val="0"/>
        </c:dLbls>
        <c:gapWidth val="219"/>
        <c:overlap val="100"/>
        <c:axId val="418675656"/>
        <c:axId val="418676048"/>
      </c:barChart>
      <c:lineChart>
        <c:grouping val="standard"/>
        <c:varyColors val="0"/>
        <c:ser>
          <c:idx val="2"/>
          <c:order val="2"/>
          <c:tx>
            <c:strRef>
              <c:f>Charting!$E$3</c:f>
              <c:strCache>
                <c:ptCount val="1"/>
                <c:pt idx="0">
                  <c:v>% Available</c:v>
                </c:pt>
              </c:strCache>
            </c:strRef>
          </c:tx>
          <c:spPr>
            <a:ln w="28575" cap="rnd">
              <a:solidFill>
                <a:schemeClr val="accent3"/>
              </a:solidFill>
              <a:round/>
            </a:ln>
            <a:effectLst/>
          </c:spPr>
          <c:marker>
            <c:symbol val="none"/>
          </c:marker>
          <c:cat>
            <c:strRef>
              <c:f>Charting!$B$4:$B$9</c:f>
              <c:strCache>
                <c:ptCount val="6"/>
                <c:pt idx="0">
                  <c:v>SKU1</c:v>
                </c:pt>
                <c:pt idx="1">
                  <c:v>SKU2</c:v>
                </c:pt>
                <c:pt idx="2">
                  <c:v>SKU3</c:v>
                </c:pt>
                <c:pt idx="3">
                  <c:v>SKU4</c:v>
                </c:pt>
                <c:pt idx="4">
                  <c:v>SKU5</c:v>
                </c:pt>
                <c:pt idx="5">
                  <c:v>SKU6</c:v>
                </c:pt>
              </c:strCache>
            </c:strRef>
          </c:cat>
          <c:val>
            <c:numRef>
              <c:f>Charting!$E$4:$E$9</c:f>
              <c:numCache>
                <c:formatCode>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2-9838-457B-9A62-1F4FE9EDA953}"/>
            </c:ext>
          </c:extLst>
        </c:ser>
        <c:dLbls>
          <c:showLegendKey val="0"/>
          <c:showVal val="0"/>
          <c:showCatName val="0"/>
          <c:showSerName val="0"/>
          <c:showPercent val="0"/>
          <c:showBubbleSize val="0"/>
        </c:dLbls>
        <c:marker val="1"/>
        <c:smooth val="0"/>
        <c:axId val="418675656"/>
        <c:axId val="418676048"/>
      </c:lineChart>
      <c:catAx>
        <c:axId val="418675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676048"/>
        <c:crosses val="autoZero"/>
        <c:auto val="1"/>
        <c:lblAlgn val="ctr"/>
        <c:lblOffset val="100"/>
        <c:noMultiLvlLbl val="0"/>
      </c:catAx>
      <c:valAx>
        <c:axId val="4186760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675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75000"/>
                  </a:schemeClr>
                </a:solidFill>
              </a:rPr>
              <a:t>% Available Memory per SKU</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Charting!$C$20</c:f>
              <c:strCache>
                <c:ptCount val="1"/>
                <c:pt idx="0">
                  <c:v>Available</c:v>
                </c:pt>
              </c:strCache>
            </c:strRef>
          </c:tx>
          <c:spPr>
            <a:solidFill>
              <a:schemeClr val="accent1"/>
            </a:solidFill>
            <a:ln>
              <a:noFill/>
            </a:ln>
            <a:effectLst/>
          </c:spPr>
          <c:invertIfNegative val="0"/>
          <c:cat>
            <c:strRef>
              <c:f>Charting!$B$21:$B$26</c:f>
              <c:strCache>
                <c:ptCount val="6"/>
                <c:pt idx="0">
                  <c:v>SKU1</c:v>
                </c:pt>
                <c:pt idx="1">
                  <c:v>SKU2</c:v>
                </c:pt>
                <c:pt idx="2">
                  <c:v>SKU3</c:v>
                </c:pt>
                <c:pt idx="3">
                  <c:v>SKU4</c:v>
                </c:pt>
                <c:pt idx="4">
                  <c:v>SKU5</c:v>
                </c:pt>
                <c:pt idx="5">
                  <c:v>SKU6</c:v>
                </c:pt>
              </c:strCache>
            </c:strRef>
          </c:cat>
          <c:val>
            <c:numRef>
              <c:f>Charting!$C$21:$C$26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C3D3-4613-9817-4210CB977303}"/>
            </c:ext>
          </c:extLst>
        </c:ser>
        <c:ser>
          <c:idx val="1"/>
          <c:order val="1"/>
          <c:tx>
            <c:strRef>
              <c:f>Charting!$D$20</c:f>
              <c:strCache>
                <c:ptCount val="1"/>
                <c:pt idx="0">
                  <c:v>Wordload</c:v>
                </c:pt>
              </c:strCache>
            </c:strRef>
          </c:tx>
          <c:spPr>
            <a:solidFill>
              <a:schemeClr val="accent2"/>
            </a:solidFill>
            <a:ln>
              <a:noFill/>
            </a:ln>
            <a:effectLst/>
          </c:spPr>
          <c:invertIfNegative val="0"/>
          <c:cat>
            <c:strRef>
              <c:f>Charting!$B$21:$B$26</c:f>
              <c:strCache>
                <c:ptCount val="6"/>
                <c:pt idx="0">
                  <c:v>SKU1</c:v>
                </c:pt>
                <c:pt idx="1">
                  <c:v>SKU2</c:v>
                </c:pt>
                <c:pt idx="2">
                  <c:v>SKU3</c:v>
                </c:pt>
                <c:pt idx="3">
                  <c:v>SKU4</c:v>
                </c:pt>
                <c:pt idx="4">
                  <c:v>SKU5</c:v>
                </c:pt>
                <c:pt idx="5">
                  <c:v>SKU6</c:v>
                </c:pt>
              </c:strCache>
            </c:strRef>
          </c:cat>
          <c:val>
            <c:numRef>
              <c:f>Charting!$D$21:$D$26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C3D3-4613-9817-4210CB977303}"/>
            </c:ext>
          </c:extLst>
        </c:ser>
        <c:dLbls>
          <c:showLegendKey val="0"/>
          <c:showVal val="0"/>
          <c:showCatName val="0"/>
          <c:showSerName val="0"/>
          <c:showPercent val="0"/>
          <c:showBubbleSize val="0"/>
        </c:dLbls>
        <c:gapWidth val="219"/>
        <c:overlap val="100"/>
        <c:axId val="418671344"/>
        <c:axId val="418678008"/>
      </c:barChart>
      <c:lineChart>
        <c:grouping val="standard"/>
        <c:varyColors val="0"/>
        <c:ser>
          <c:idx val="2"/>
          <c:order val="2"/>
          <c:tx>
            <c:strRef>
              <c:f>Charting!$E$20</c:f>
              <c:strCache>
                <c:ptCount val="1"/>
                <c:pt idx="0">
                  <c:v>% Available</c:v>
                </c:pt>
              </c:strCache>
            </c:strRef>
          </c:tx>
          <c:spPr>
            <a:ln w="28575" cap="rnd">
              <a:solidFill>
                <a:schemeClr val="accent3"/>
              </a:solidFill>
              <a:round/>
            </a:ln>
            <a:effectLst/>
          </c:spPr>
          <c:marker>
            <c:symbol val="none"/>
          </c:marker>
          <c:cat>
            <c:strRef>
              <c:f>Charting!$B$21:$B$26</c:f>
              <c:strCache>
                <c:ptCount val="6"/>
                <c:pt idx="0">
                  <c:v>SKU1</c:v>
                </c:pt>
                <c:pt idx="1">
                  <c:v>SKU2</c:v>
                </c:pt>
                <c:pt idx="2">
                  <c:v>SKU3</c:v>
                </c:pt>
                <c:pt idx="3">
                  <c:v>SKU4</c:v>
                </c:pt>
                <c:pt idx="4">
                  <c:v>SKU5</c:v>
                </c:pt>
                <c:pt idx="5">
                  <c:v>SKU6</c:v>
                </c:pt>
              </c:strCache>
            </c:strRef>
          </c:cat>
          <c:val>
            <c:numRef>
              <c:f>Charting!$E$21:$E$26</c:f>
              <c:numCache>
                <c:formatCode>General</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2-C3D3-4613-9817-4210CB977303}"/>
            </c:ext>
          </c:extLst>
        </c:ser>
        <c:dLbls>
          <c:showLegendKey val="0"/>
          <c:showVal val="0"/>
          <c:showCatName val="0"/>
          <c:showSerName val="0"/>
          <c:showPercent val="0"/>
          <c:showBubbleSize val="0"/>
        </c:dLbls>
        <c:marker val="1"/>
        <c:smooth val="0"/>
        <c:axId val="418671344"/>
        <c:axId val="418678008"/>
      </c:lineChart>
      <c:catAx>
        <c:axId val="418671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678008"/>
        <c:crosses val="autoZero"/>
        <c:auto val="1"/>
        <c:lblAlgn val="ctr"/>
        <c:lblOffset val="100"/>
        <c:noMultiLvlLbl val="0"/>
      </c:catAx>
      <c:valAx>
        <c:axId val="4186780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671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75000"/>
                  </a:schemeClr>
                </a:solidFill>
              </a:rPr>
              <a:t>% Available Temp Disk per SKU</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Charting!$N$3</c:f>
              <c:strCache>
                <c:ptCount val="1"/>
                <c:pt idx="0">
                  <c:v>Available</c:v>
                </c:pt>
              </c:strCache>
            </c:strRef>
          </c:tx>
          <c:spPr>
            <a:solidFill>
              <a:schemeClr val="accent1"/>
            </a:solidFill>
            <a:ln>
              <a:noFill/>
            </a:ln>
            <a:effectLst/>
          </c:spPr>
          <c:invertIfNegative val="0"/>
          <c:cat>
            <c:strRef>
              <c:f>Charting!$M$4:$M$9</c:f>
              <c:strCache>
                <c:ptCount val="6"/>
                <c:pt idx="0">
                  <c:v>SKU1</c:v>
                </c:pt>
                <c:pt idx="1">
                  <c:v>SKU2</c:v>
                </c:pt>
                <c:pt idx="2">
                  <c:v>SKU3</c:v>
                </c:pt>
                <c:pt idx="3">
                  <c:v>SKU4</c:v>
                </c:pt>
                <c:pt idx="4">
                  <c:v>SKU5</c:v>
                </c:pt>
                <c:pt idx="5">
                  <c:v>SKU6</c:v>
                </c:pt>
              </c:strCache>
            </c:strRef>
          </c:cat>
          <c:val>
            <c:numRef>
              <c:f>Charting!$N$4:$N$9</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63ED-4442-B576-6C15B9D9529D}"/>
            </c:ext>
          </c:extLst>
        </c:ser>
        <c:ser>
          <c:idx val="1"/>
          <c:order val="1"/>
          <c:tx>
            <c:strRef>
              <c:f>Charting!$O$3</c:f>
              <c:strCache>
                <c:ptCount val="1"/>
                <c:pt idx="0">
                  <c:v>Wordload</c:v>
                </c:pt>
              </c:strCache>
            </c:strRef>
          </c:tx>
          <c:spPr>
            <a:solidFill>
              <a:schemeClr val="accent2"/>
            </a:solidFill>
            <a:ln>
              <a:noFill/>
            </a:ln>
            <a:effectLst/>
          </c:spPr>
          <c:invertIfNegative val="0"/>
          <c:cat>
            <c:strRef>
              <c:f>Charting!$M$4:$M$9</c:f>
              <c:strCache>
                <c:ptCount val="6"/>
                <c:pt idx="0">
                  <c:v>SKU1</c:v>
                </c:pt>
                <c:pt idx="1">
                  <c:v>SKU2</c:v>
                </c:pt>
                <c:pt idx="2">
                  <c:v>SKU3</c:v>
                </c:pt>
                <c:pt idx="3">
                  <c:v>SKU4</c:v>
                </c:pt>
                <c:pt idx="4">
                  <c:v>SKU5</c:v>
                </c:pt>
                <c:pt idx="5">
                  <c:v>SKU6</c:v>
                </c:pt>
              </c:strCache>
            </c:strRef>
          </c:cat>
          <c:val>
            <c:numRef>
              <c:f>Charting!$O$4:$O$9</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63ED-4442-B576-6C15B9D9529D}"/>
            </c:ext>
          </c:extLst>
        </c:ser>
        <c:dLbls>
          <c:showLegendKey val="0"/>
          <c:showVal val="0"/>
          <c:showCatName val="0"/>
          <c:showSerName val="0"/>
          <c:showPercent val="0"/>
          <c:showBubbleSize val="0"/>
        </c:dLbls>
        <c:gapWidth val="219"/>
        <c:overlap val="100"/>
        <c:axId val="418672128"/>
        <c:axId val="418672912"/>
      </c:barChart>
      <c:lineChart>
        <c:grouping val="standard"/>
        <c:varyColors val="0"/>
        <c:ser>
          <c:idx val="2"/>
          <c:order val="2"/>
          <c:tx>
            <c:strRef>
              <c:f>Charting!$P$3</c:f>
              <c:strCache>
                <c:ptCount val="1"/>
                <c:pt idx="0">
                  <c:v>% Available</c:v>
                </c:pt>
              </c:strCache>
            </c:strRef>
          </c:tx>
          <c:spPr>
            <a:ln w="28575" cap="rnd">
              <a:solidFill>
                <a:schemeClr val="accent3"/>
              </a:solidFill>
              <a:round/>
            </a:ln>
            <a:effectLst/>
          </c:spPr>
          <c:marker>
            <c:symbol val="none"/>
          </c:marker>
          <c:cat>
            <c:strRef>
              <c:f>Charting!$M$4:$M$9</c:f>
              <c:strCache>
                <c:ptCount val="6"/>
                <c:pt idx="0">
                  <c:v>SKU1</c:v>
                </c:pt>
                <c:pt idx="1">
                  <c:v>SKU2</c:v>
                </c:pt>
                <c:pt idx="2">
                  <c:v>SKU3</c:v>
                </c:pt>
                <c:pt idx="3">
                  <c:v>SKU4</c:v>
                </c:pt>
                <c:pt idx="4">
                  <c:v>SKU5</c:v>
                </c:pt>
                <c:pt idx="5">
                  <c:v>SKU6</c:v>
                </c:pt>
              </c:strCache>
            </c:strRef>
          </c:cat>
          <c:val>
            <c:numRef>
              <c:f>Charting!$P$4:$P$9</c:f>
              <c:numCache>
                <c:formatCode>General</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2-63ED-4442-B576-6C15B9D9529D}"/>
            </c:ext>
          </c:extLst>
        </c:ser>
        <c:dLbls>
          <c:showLegendKey val="0"/>
          <c:showVal val="0"/>
          <c:showCatName val="0"/>
          <c:showSerName val="0"/>
          <c:showPercent val="0"/>
          <c:showBubbleSize val="0"/>
        </c:dLbls>
        <c:marker val="1"/>
        <c:smooth val="0"/>
        <c:axId val="418672128"/>
        <c:axId val="418672912"/>
      </c:lineChart>
      <c:catAx>
        <c:axId val="418672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672912"/>
        <c:crosses val="autoZero"/>
        <c:auto val="1"/>
        <c:lblAlgn val="ctr"/>
        <c:lblOffset val="100"/>
        <c:noMultiLvlLbl val="0"/>
      </c:catAx>
      <c:valAx>
        <c:axId val="4186729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672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75000"/>
                  </a:schemeClr>
                </a:solidFill>
              </a:rPr>
              <a:t>% Available Storage per SKU</a:t>
            </a:r>
          </a:p>
        </c:rich>
      </c:tx>
      <c:layout>
        <c:manualLayout>
          <c:xMode val="edge"/>
          <c:yMode val="edge"/>
          <c:x val="0.1534962387455689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Charting!$N$21</c:f>
              <c:strCache>
                <c:ptCount val="1"/>
                <c:pt idx="0">
                  <c:v>Available</c:v>
                </c:pt>
              </c:strCache>
            </c:strRef>
          </c:tx>
          <c:spPr>
            <a:solidFill>
              <a:schemeClr val="accent1"/>
            </a:solidFill>
            <a:ln>
              <a:noFill/>
            </a:ln>
            <a:effectLst/>
          </c:spPr>
          <c:invertIfNegative val="0"/>
          <c:cat>
            <c:strRef>
              <c:f>Charting!$M$22:$M$27</c:f>
              <c:strCache>
                <c:ptCount val="6"/>
                <c:pt idx="0">
                  <c:v>SKU1</c:v>
                </c:pt>
                <c:pt idx="1">
                  <c:v>SKU2</c:v>
                </c:pt>
                <c:pt idx="2">
                  <c:v>SKU3</c:v>
                </c:pt>
                <c:pt idx="3">
                  <c:v>SKU4</c:v>
                </c:pt>
                <c:pt idx="4">
                  <c:v>SKU5</c:v>
                </c:pt>
                <c:pt idx="5">
                  <c:v>SKU6</c:v>
                </c:pt>
              </c:strCache>
            </c:strRef>
          </c:cat>
          <c:val>
            <c:numRef>
              <c:f>Charting!$N$22:$N$27</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626D-42D7-9B8F-98956D59994D}"/>
            </c:ext>
          </c:extLst>
        </c:ser>
        <c:ser>
          <c:idx val="1"/>
          <c:order val="1"/>
          <c:tx>
            <c:strRef>
              <c:f>Charting!$O$21</c:f>
              <c:strCache>
                <c:ptCount val="1"/>
                <c:pt idx="0">
                  <c:v>Wordload</c:v>
                </c:pt>
              </c:strCache>
            </c:strRef>
          </c:tx>
          <c:spPr>
            <a:solidFill>
              <a:schemeClr val="accent2"/>
            </a:solidFill>
            <a:ln>
              <a:noFill/>
            </a:ln>
            <a:effectLst/>
          </c:spPr>
          <c:invertIfNegative val="0"/>
          <c:cat>
            <c:strRef>
              <c:f>Charting!$M$22:$M$27</c:f>
              <c:strCache>
                <c:ptCount val="6"/>
                <c:pt idx="0">
                  <c:v>SKU1</c:v>
                </c:pt>
                <c:pt idx="1">
                  <c:v>SKU2</c:v>
                </c:pt>
                <c:pt idx="2">
                  <c:v>SKU3</c:v>
                </c:pt>
                <c:pt idx="3">
                  <c:v>SKU4</c:v>
                </c:pt>
                <c:pt idx="4">
                  <c:v>SKU5</c:v>
                </c:pt>
                <c:pt idx="5">
                  <c:v>SKU6</c:v>
                </c:pt>
              </c:strCache>
            </c:strRef>
          </c:cat>
          <c:val>
            <c:numRef>
              <c:f>Charting!$O$22:$O$27</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626D-42D7-9B8F-98956D59994D}"/>
            </c:ext>
          </c:extLst>
        </c:ser>
        <c:dLbls>
          <c:showLegendKey val="0"/>
          <c:showVal val="0"/>
          <c:showCatName val="0"/>
          <c:showSerName val="0"/>
          <c:showPercent val="0"/>
          <c:showBubbleSize val="0"/>
        </c:dLbls>
        <c:gapWidth val="219"/>
        <c:overlap val="100"/>
        <c:axId val="418673304"/>
        <c:axId val="418673696"/>
      </c:barChart>
      <c:lineChart>
        <c:grouping val="standard"/>
        <c:varyColors val="0"/>
        <c:ser>
          <c:idx val="2"/>
          <c:order val="2"/>
          <c:tx>
            <c:strRef>
              <c:f>Charting!$P$21</c:f>
              <c:strCache>
                <c:ptCount val="1"/>
                <c:pt idx="0">
                  <c:v>% Available</c:v>
                </c:pt>
              </c:strCache>
            </c:strRef>
          </c:tx>
          <c:spPr>
            <a:ln w="28575" cap="rnd">
              <a:solidFill>
                <a:schemeClr val="accent3"/>
              </a:solidFill>
              <a:round/>
            </a:ln>
            <a:effectLst/>
          </c:spPr>
          <c:marker>
            <c:symbol val="none"/>
          </c:marker>
          <c:cat>
            <c:strRef>
              <c:f>Charting!$M$22:$M$27</c:f>
              <c:strCache>
                <c:ptCount val="6"/>
                <c:pt idx="0">
                  <c:v>SKU1</c:v>
                </c:pt>
                <c:pt idx="1">
                  <c:v>SKU2</c:v>
                </c:pt>
                <c:pt idx="2">
                  <c:v>SKU3</c:v>
                </c:pt>
                <c:pt idx="3">
                  <c:v>SKU4</c:v>
                </c:pt>
                <c:pt idx="4">
                  <c:v>SKU5</c:v>
                </c:pt>
                <c:pt idx="5">
                  <c:v>SKU6</c:v>
                </c:pt>
              </c:strCache>
            </c:strRef>
          </c:cat>
          <c:val>
            <c:numRef>
              <c:f>Charting!$P$22:$P$27</c:f>
              <c:numCache>
                <c:formatCode>General</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2-626D-42D7-9B8F-98956D59994D}"/>
            </c:ext>
          </c:extLst>
        </c:ser>
        <c:dLbls>
          <c:showLegendKey val="0"/>
          <c:showVal val="0"/>
          <c:showCatName val="0"/>
          <c:showSerName val="0"/>
          <c:showPercent val="0"/>
          <c:showBubbleSize val="0"/>
        </c:dLbls>
        <c:marker val="1"/>
        <c:smooth val="0"/>
        <c:axId val="418673304"/>
        <c:axId val="418673696"/>
      </c:lineChart>
      <c:catAx>
        <c:axId val="418673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673696"/>
        <c:crosses val="autoZero"/>
        <c:auto val="1"/>
        <c:lblAlgn val="ctr"/>
        <c:lblOffset val="100"/>
        <c:noMultiLvlLbl val="0"/>
      </c:catAx>
      <c:valAx>
        <c:axId val="41867369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673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Available Cores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Charting!$B$4:$B$9</c:f>
              <c:strCache>
                <c:ptCount val="6"/>
                <c:pt idx="0">
                  <c:v>SKU1</c:v>
                </c:pt>
                <c:pt idx="1">
                  <c:v>SKU2</c:v>
                </c:pt>
                <c:pt idx="2">
                  <c:v>SKU3</c:v>
                </c:pt>
                <c:pt idx="3">
                  <c:v>SKU4</c:v>
                </c:pt>
                <c:pt idx="4">
                  <c:v>SKU5</c:v>
                </c:pt>
                <c:pt idx="5">
                  <c:v>SKU6</c:v>
                </c:pt>
              </c:strCache>
            </c:strRef>
          </c:cat>
          <c:val>
            <c:numRef>
              <c:f>Charting!$C$4:$C$9</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13DE-46BA-B6E3-20E4B9CBCE64}"/>
            </c:ext>
          </c:extLst>
        </c:ser>
        <c:dLbls>
          <c:dLblPos val="inEnd"/>
          <c:showLegendKey val="0"/>
          <c:showVal val="1"/>
          <c:showCatName val="0"/>
          <c:showSerName val="0"/>
          <c:showPercent val="0"/>
          <c:showBubbleSize val="0"/>
        </c:dLbls>
        <c:gapWidth val="100"/>
        <c:overlap val="-24"/>
        <c:axId val="418674088"/>
        <c:axId val="418677224"/>
      </c:barChart>
      <c:catAx>
        <c:axId val="4186740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8677224"/>
        <c:crosses val="autoZero"/>
        <c:auto val="1"/>
        <c:lblAlgn val="ctr"/>
        <c:lblOffset val="100"/>
        <c:noMultiLvlLbl val="0"/>
      </c:catAx>
      <c:valAx>
        <c:axId val="41867722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86740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Available Memory - GB</a:t>
            </a:r>
          </a:p>
        </c:rich>
      </c:tx>
      <c:layout>
        <c:manualLayout>
          <c:xMode val="edge"/>
          <c:yMode val="edge"/>
          <c:x val="0.14236122047244096"/>
          <c:y val="5.112455363680397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Charting!$B$21:$B$26</c:f>
              <c:strCache>
                <c:ptCount val="6"/>
                <c:pt idx="0">
                  <c:v>SKU1</c:v>
                </c:pt>
                <c:pt idx="1">
                  <c:v>SKU2</c:v>
                </c:pt>
                <c:pt idx="2">
                  <c:v>SKU3</c:v>
                </c:pt>
                <c:pt idx="3">
                  <c:v>SKU4</c:v>
                </c:pt>
                <c:pt idx="4">
                  <c:v>SKU5</c:v>
                </c:pt>
                <c:pt idx="5">
                  <c:v>SKU6</c:v>
                </c:pt>
              </c:strCache>
            </c:strRef>
          </c:cat>
          <c:val>
            <c:numRef>
              <c:f>Charting!$C$21:$C$26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F2AC-4038-8FE2-7ECE006AFE2D}"/>
            </c:ext>
          </c:extLst>
        </c:ser>
        <c:dLbls>
          <c:dLblPos val="inEnd"/>
          <c:showLegendKey val="0"/>
          <c:showVal val="1"/>
          <c:showCatName val="0"/>
          <c:showSerName val="0"/>
          <c:showPercent val="0"/>
          <c:showBubbleSize val="0"/>
        </c:dLbls>
        <c:gapWidth val="100"/>
        <c:overlap val="-24"/>
        <c:axId val="419818168"/>
        <c:axId val="419814248"/>
      </c:barChart>
      <c:catAx>
        <c:axId val="4198181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14248"/>
        <c:crosses val="autoZero"/>
        <c:auto val="1"/>
        <c:lblAlgn val="ctr"/>
        <c:lblOffset val="100"/>
        <c:noMultiLvlLbl val="0"/>
      </c:catAx>
      <c:valAx>
        <c:axId val="41981424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181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Available TempDisk</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Charting!$M$4:$M$9</c:f>
              <c:strCache>
                <c:ptCount val="6"/>
                <c:pt idx="0">
                  <c:v>SKU1</c:v>
                </c:pt>
                <c:pt idx="1">
                  <c:v>SKU2</c:v>
                </c:pt>
                <c:pt idx="2">
                  <c:v>SKU3</c:v>
                </c:pt>
                <c:pt idx="3">
                  <c:v>SKU4</c:v>
                </c:pt>
                <c:pt idx="4">
                  <c:v>SKU5</c:v>
                </c:pt>
                <c:pt idx="5">
                  <c:v>SKU6</c:v>
                </c:pt>
              </c:strCache>
            </c:strRef>
          </c:cat>
          <c:val>
            <c:numRef>
              <c:f>Charting!$N$4:$N$9</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E234-4BF3-8DCD-A856CC246279}"/>
            </c:ext>
          </c:extLst>
        </c:ser>
        <c:dLbls>
          <c:dLblPos val="inEnd"/>
          <c:showLegendKey val="0"/>
          <c:showVal val="1"/>
          <c:showCatName val="0"/>
          <c:showSerName val="0"/>
          <c:showPercent val="0"/>
          <c:showBubbleSize val="0"/>
        </c:dLbls>
        <c:gapWidth val="100"/>
        <c:overlap val="-24"/>
        <c:axId val="419817384"/>
        <c:axId val="419818560"/>
      </c:barChart>
      <c:catAx>
        <c:axId val="41981738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18560"/>
        <c:crosses val="autoZero"/>
        <c:auto val="1"/>
        <c:lblAlgn val="ctr"/>
        <c:lblOffset val="100"/>
        <c:noMultiLvlLbl val="0"/>
      </c:catAx>
      <c:valAx>
        <c:axId val="419818560"/>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173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Available Storage - TB</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Charting!$M$22:$M$27</c:f>
              <c:strCache>
                <c:ptCount val="6"/>
                <c:pt idx="0">
                  <c:v>SKU1</c:v>
                </c:pt>
                <c:pt idx="1">
                  <c:v>SKU2</c:v>
                </c:pt>
                <c:pt idx="2">
                  <c:v>SKU3</c:v>
                </c:pt>
                <c:pt idx="3">
                  <c:v>SKU4</c:v>
                </c:pt>
                <c:pt idx="4">
                  <c:v>SKU5</c:v>
                </c:pt>
                <c:pt idx="5">
                  <c:v>SKU6</c:v>
                </c:pt>
              </c:strCache>
            </c:strRef>
          </c:cat>
          <c:val>
            <c:numRef>
              <c:f>Charting!$N$22:$N$27</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D4A5-42A8-8B44-1F783D7F8730}"/>
            </c:ext>
          </c:extLst>
        </c:ser>
        <c:dLbls>
          <c:dLblPos val="inEnd"/>
          <c:showLegendKey val="0"/>
          <c:showVal val="1"/>
          <c:showCatName val="0"/>
          <c:showSerName val="0"/>
          <c:showPercent val="0"/>
          <c:showBubbleSize val="0"/>
        </c:dLbls>
        <c:gapWidth val="100"/>
        <c:overlap val="-24"/>
        <c:axId val="419817776"/>
        <c:axId val="419815032"/>
      </c:barChart>
      <c:catAx>
        <c:axId val="41981777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15032"/>
        <c:crosses val="autoZero"/>
        <c:auto val="1"/>
        <c:lblAlgn val="ctr"/>
        <c:lblOffset val="100"/>
        <c:noMultiLvlLbl val="0"/>
      </c:catAx>
      <c:valAx>
        <c:axId val="419815032"/>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177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75000"/>
                  </a:schemeClr>
                </a:solidFill>
              </a:rPr>
              <a:t>CPU Core Consumption</a:t>
            </a:r>
          </a:p>
        </c:rich>
      </c:tx>
      <c:layout>
        <c:manualLayout>
          <c:xMode val="edge"/>
          <c:yMode val="edge"/>
          <c:x val="1.7826334208224003E-2"/>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2863808690580319E-3"/>
          <c:y val="0.25682820815023"/>
          <c:w val="0.85105814154183113"/>
          <c:h val="0.47505332733489908"/>
        </c:manualLayout>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A234-4CE4-BAB4-B4381AC15E3A}"/>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A234-4CE4-BAB4-B4381AC15E3A}"/>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A234-4CE4-BAB4-B4381AC15E3A}"/>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A234-4CE4-BAB4-B4381AC15E3A}"/>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A234-4CE4-BAB4-B4381AC15E3A}"/>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A234-4CE4-BAB4-B4381AC15E3A}"/>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A234-4CE4-BAB4-B4381AC15E3A}"/>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E73B-4007-8DBB-BD70E8B8DFC6}"/>
              </c:ext>
            </c:extLst>
          </c:dPt>
          <c:cat>
            <c:strRef>
              <c:f>Charting!$U$37:$U$44</c:f>
              <c:strCache>
                <c:ptCount val="8"/>
                <c:pt idx="0">
                  <c:v>Dev/Test_Cores</c:v>
                </c:pt>
                <c:pt idx="1">
                  <c:v>WebServer_Cores</c:v>
                </c:pt>
                <c:pt idx="2">
                  <c:v>RelationalDB_Cores</c:v>
                </c:pt>
                <c:pt idx="3">
                  <c:v>BIData_Cores</c:v>
                </c:pt>
                <c:pt idx="4">
                  <c:v>FileServer_Cores</c:v>
                </c:pt>
                <c:pt idx="6">
                  <c:v>DataStorage_Cores</c:v>
                </c:pt>
                <c:pt idx="7">
                  <c:v>Available_Cores</c:v>
                </c:pt>
              </c:strCache>
            </c:strRef>
          </c:cat>
          <c:val>
            <c:numRef>
              <c:f>Charting!$V$37:$V$44</c:f>
              <c:numCache>
                <c:formatCode>General</c:formatCode>
                <c:ptCount val="8"/>
                <c:pt idx="0">
                  <c:v>0</c:v>
                </c:pt>
                <c:pt idx="1">
                  <c:v>0</c:v>
                </c:pt>
                <c:pt idx="2">
                  <c:v>0</c:v>
                </c:pt>
                <c:pt idx="3">
                  <c:v>0</c:v>
                </c:pt>
                <c:pt idx="4">
                  <c:v>0</c:v>
                </c:pt>
                <c:pt idx="6">
                  <c:v>0</c:v>
                </c:pt>
                <c:pt idx="7">
                  <c:v>0</c:v>
                </c:pt>
              </c:numCache>
            </c:numRef>
          </c:val>
          <c:extLst>
            <c:ext xmlns:c16="http://schemas.microsoft.com/office/drawing/2014/chart" uri="{C3380CC4-5D6E-409C-BE32-E72D297353CC}">
              <c16:uniqueId val="{00000000-10DD-4992-870E-60FFB91B81EE}"/>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0.64536099654209889"/>
          <c:y val="8.1415060289395866E-3"/>
          <c:w val="0.34693853744472419"/>
          <c:h val="0.99123627045639973"/>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75000"/>
                  </a:schemeClr>
                </a:solidFill>
              </a:rPr>
              <a:t>Memory Consumption</a:t>
            </a:r>
          </a:p>
        </c:rich>
      </c:tx>
      <c:layout>
        <c:manualLayout>
          <c:xMode val="edge"/>
          <c:yMode val="edge"/>
          <c:x val="1.8912751782473848E-2"/>
          <c:y val="3.32739218538178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21066861487674865"/>
          <c:w val="0.90101238514330773"/>
          <c:h val="0.5570311443028384"/>
        </c:manualLayout>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005C-4EA1-B916-44A54A939588}"/>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005C-4EA1-B916-44A54A939588}"/>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005C-4EA1-B916-44A54A939588}"/>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005C-4EA1-B916-44A54A939588}"/>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005C-4EA1-B916-44A54A939588}"/>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005C-4EA1-B916-44A54A939588}"/>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005C-4EA1-B916-44A54A939588}"/>
              </c:ext>
            </c:extLst>
          </c:dPt>
          <c:cat>
            <c:strRef>
              <c:f>Charting!$U$48:$U$54</c:f>
              <c:strCache>
                <c:ptCount val="7"/>
                <c:pt idx="0">
                  <c:v>Dev/Test_Memory</c:v>
                </c:pt>
                <c:pt idx="1">
                  <c:v>WebServer_Memory</c:v>
                </c:pt>
                <c:pt idx="2">
                  <c:v>RelationalDB_Memory</c:v>
                </c:pt>
                <c:pt idx="3">
                  <c:v>BIData_Memory</c:v>
                </c:pt>
                <c:pt idx="4">
                  <c:v>FileServer_Memory</c:v>
                </c:pt>
                <c:pt idx="5">
                  <c:v>DataStorage_Memory</c:v>
                </c:pt>
                <c:pt idx="6">
                  <c:v>Available_Memory</c:v>
                </c:pt>
              </c:strCache>
            </c:strRef>
          </c:cat>
          <c:val>
            <c:numRef>
              <c:f>Charting!$V$48:$V$54</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75AF-433D-88CE-02A39D456B78}"/>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0.61342183249670557"/>
          <c:y val="1.5446735150810537E-2"/>
          <c:w val="0.38207991141895709"/>
          <c:h val="0.94652592558768334"/>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75000"/>
                  </a:schemeClr>
                </a:solidFill>
              </a:rPr>
              <a:t>Temp Storage Consumption</a:t>
            </a:r>
          </a:p>
        </c:rich>
      </c:tx>
      <c:layout>
        <c:manualLayout>
          <c:xMode val="edge"/>
          <c:yMode val="edge"/>
          <c:x val="1.3458223972003502E-2"/>
          <c:y val="3.579417503821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23319905037395991"/>
          <c:w val="0.90833333333333344"/>
          <c:h val="0.48566541935083829"/>
        </c:manualLayout>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24CD-491A-93C0-3A62BCA185BF}"/>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24CD-491A-93C0-3A62BCA185BF}"/>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24CD-491A-93C0-3A62BCA185BF}"/>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24CD-491A-93C0-3A62BCA185BF}"/>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24CD-491A-93C0-3A62BCA185BF}"/>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24CD-491A-93C0-3A62BCA185BF}"/>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24CD-491A-93C0-3A62BCA185BF}"/>
              </c:ext>
            </c:extLst>
          </c:dPt>
          <c:cat>
            <c:strRef>
              <c:f>Charting!$U$59:$U$65</c:f>
              <c:strCache>
                <c:ptCount val="7"/>
                <c:pt idx="0">
                  <c:v>Dev/Test_Temp</c:v>
                </c:pt>
                <c:pt idx="1">
                  <c:v>WebServer_Temp</c:v>
                </c:pt>
                <c:pt idx="2">
                  <c:v>RelationalDB_Temp</c:v>
                </c:pt>
                <c:pt idx="3">
                  <c:v>BIData_Temp</c:v>
                </c:pt>
                <c:pt idx="4">
                  <c:v>FileServer_Temp</c:v>
                </c:pt>
                <c:pt idx="5">
                  <c:v>DataStorage_Temp</c:v>
                </c:pt>
                <c:pt idx="6">
                  <c:v>Available_Temp</c:v>
                </c:pt>
              </c:strCache>
            </c:strRef>
          </c:cat>
          <c:val>
            <c:numRef>
              <c:f>Charting!$V$59:$V$65</c:f>
              <c:numCache>
                <c:formatCode>General</c:formatCode>
                <c:ptCount val="7"/>
                <c:pt idx="0">
                  <c:v>0</c:v>
                </c:pt>
                <c:pt idx="1">
                  <c:v>0</c:v>
                </c:pt>
                <c:pt idx="2">
                  <c:v>0</c:v>
                </c:pt>
                <c:pt idx="3">
                  <c:v>0</c:v>
                </c:pt>
                <c:pt idx="4">
                  <c:v>0</c:v>
                </c:pt>
                <c:pt idx="5">
                  <c:v>0</c:v>
                </c:pt>
                <c:pt idx="6" formatCode="0.0">
                  <c:v>0</c:v>
                </c:pt>
              </c:numCache>
            </c:numRef>
          </c:val>
          <c:extLst>
            <c:ext xmlns:c16="http://schemas.microsoft.com/office/drawing/2014/chart" uri="{C3380CC4-5D6E-409C-BE32-E72D297353CC}">
              <c16:uniqueId val="{00000000-09EA-41F6-A1C0-D07C88C014E4}"/>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0.72117257217847774"/>
          <c:y val="2.0878056479638186E-2"/>
          <c:w val="0.27709908136482947"/>
          <c:h val="0.9433277684821485"/>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75000"/>
                  </a:schemeClr>
                </a:solidFill>
              </a:rPr>
              <a:t>Disk Consumption</a:t>
            </a:r>
          </a:p>
        </c:rich>
      </c:tx>
      <c:layout>
        <c:manualLayout>
          <c:xMode val="edge"/>
          <c:yMode val="edge"/>
          <c:x val="2.0604111986001782E-2"/>
          <c:y val="3.34029154345140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28206044261931462"/>
          <c:w val="0.81111111111111112"/>
          <c:h val="0.52157298046077571"/>
        </c:manualLayout>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A7D9-4FC7-85A6-A1619C62CB3C}"/>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A7D9-4FC7-85A6-A1619C62CB3C}"/>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A7D9-4FC7-85A6-A1619C62CB3C}"/>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A7D9-4FC7-85A6-A1619C62CB3C}"/>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A7D9-4FC7-85A6-A1619C62CB3C}"/>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A7D9-4FC7-85A6-A1619C62CB3C}"/>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A7D9-4FC7-85A6-A1619C62CB3C}"/>
              </c:ext>
            </c:extLst>
          </c:dPt>
          <c:cat>
            <c:strRef>
              <c:f>Charting!$U$71:$U$77</c:f>
              <c:strCache>
                <c:ptCount val="7"/>
                <c:pt idx="0">
                  <c:v>Dev/Test_Disk</c:v>
                </c:pt>
                <c:pt idx="1">
                  <c:v>WebServer_Disk</c:v>
                </c:pt>
                <c:pt idx="2">
                  <c:v>RelationalDB_Disk</c:v>
                </c:pt>
                <c:pt idx="3">
                  <c:v>BIData_Disk</c:v>
                </c:pt>
                <c:pt idx="4">
                  <c:v>FileServer_Disk</c:v>
                </c:pt>
                <c:pt idx="5">
                  <c:v>DataStorage_Disk</c:v>
                </c:pt>
                <c:pt idx="6">
                  <c:v>Available_Disk</c:v>
                </c:pt>
              </c:strCache>
            </c:strRef>
          </c:cat>
          <c:val>
            <c:numRef>
              <c:f>Charting!$V$71:$V$77</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B60C-4430-8810-FFFC2D8402B3}"/>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0.66568372703412071"/>
          <c:y val="1.7360017497812821E-2"/>
          <c:w val="0.32974365704286956"/>
          <c:h val="0.95486220472440941"/>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CPU Cores per SKU</a:t>
            </a:r>
          </a:p>
        </c:rich>
      </c:tx>
      <c:layout>
        <c:manualLayout>
          <c:xMode val="edge"/>
          <c:yMode val="edge"/>
          <c:x val="0.14300084288634435"/>
          <c:y val="3.7718040717070441E-3"/>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Charting!$C$86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Charting!$B$87:$B$92</c:f>
              <c:strCache>
                <c:ptCount val="6"/>
                <c:pt idx="0">
                  <c:v>SKU 1</c:v>
                </c:pt>
                <c:pt idx="1">
                  <c:v>SKU 2</c:v>
                </c:pt>
                <c:pt idx="2">
                  <c:v>SKU 3</c:v>
                </c:pt>
                <c:pt idx="3">
                  <c:v>SKU 4</c:v>
                </c:pt>
                <c:pt idx="4">
                  <c:v>SKU 5</c:v>
                </c:pt>
                <c:pt idx="5">
                  <c:v>SKU 6</c:v>
                </c:pt>
              </c:strCache>
            </c:strRef>
          </c:cat>
          <c:val>
            <c:numRef>
              <c:f>Charting!$C$87:$C$92</c:f>
              <c:numCache>
                <c:formatCode>General</c:formatCode>
                <c:ptCount val="6"/>
                <c:pt idx="0">
                  <c:v>53.099999999999994</c:v>
                </c:pt>
                <c:pt idx="1">
                  <c:v>53.099999999999994</c:v>
                </c:pt>
                <c:pt idx="2">
                  <c:v>142.69999999999999</c:v>
                </c:pt>
                <c:pt idx="3">
                  <c:v>424.3</c:v>
                </c:pt>
                <c:pt idx="4">
                  <c:v>104.3</c:v>
                </c:pt>
                <c:pt idx="5">
                  <c:v>1294.7</c:v>
                </c:pt>
              </c:numCache>
            </c:numRef>
          </c:val>
          <c:extLst>
            <c:ext xmlns:c16="http://schemas.microsoft.com/office/drawing/2014/chart" uri="{C3380CC4-5D6E-409C-BE32-E72D297353CC}">
              <c16:uniqueId val="{00000000-9E2A-4DE3-B2D9-67692688D1AE}"/>
            </c:ext>
          </c:extLst>
        </c:ser>
        <c:ser>
          <c:idx val="1"/>
          <c:order val="1"/>
          <c:tx>
            <c:strRef>
              <c:f>Charting!$D$86</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Charting!$B$87:$B$92</c:f>
              <c:strCache>
                <c:ptCount val="6"/>
                <c:pt idx="0">
                  <c:v>SKU 1</c:v>
                </c:pt>
                <c:pt idx="1">
                  <c:v>SKU 2</c:v>
                </c:pt>
                <c:pt idx="2">
                  <c:v>SKU 3</c:v>
                </c:pt>
                <c:pt idx="3">
                  <c:v>SKU 4</c:v>
                </c:pt>
                <c:pt idx="4">
                  <c:v>SKU 5</c:v>
                </c:pt>
                <c:pt idx="5">
                  <c:v>SKU 6</c:v>
                </c:pt>
              </c:strCache>
            </c:strRef>
          </c:cat>
          <c:val>
            <c:numRef>
              <c:f>Charting!$D$87:$D$92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9E2A-4DE3-B2D9-67692688D1AE}"/>
            </c:ext>
          </c:extLst>
        </c:ser>
        <c:dLbls>
          <c:showLegendKey val="0"/>
          <c:showVal val="0"/>
          <c:showCatName val="0"/>
          <c:showSerName val="0"/>
          <c:showPercent val="0"/>
          <c:showBubbleSize val="0"/>
        </c:dLbls>
        <c:gapWidth val="269"/>
        <c:overlap val="-27"/>
        <c:axId val="419816208"/>
        <c:axId val="419820128"/>
      </c:barChart>
      <c:lineChart>
        <c:grouping val="standard"/>
        <c:varyColors val="0"/>
        <c:ser>
          <c:idx val="2"/>
          <c:order val="2"/>
          <c:tx>
            <c:strRef>
              <c:f>Charting!$E$86</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Charting!$B$87:$B$92</c:f>
              <c:strCache>
                <c:ptCount val="6"/>
                <c:pt idx="0">
                  <c:v>SKU 1</c:v>
                </c:pt>
                <c:pt idx="1">
                  <c:v>SKU 2</c:v>
                </c:pt>
                <c:pt idx="2">
                  <c:v>SKU 3</c:v>
                </c:pt>
                <c:pt idx="3">
                  <c:v>SKU 4</c:v>
                </c:pt>
                <c:pt idx="4">
                  <c:v>SKU 5</c:v>
                </c:pt>
                <c:pt idx="5">
                  <c:v>SKU 6</c:v>
                </c:pt>
              </c:strCache>
            </c:strRef>
          </c:cat>
          <c:val>
            <c:numRef>
              <c:f>Charting!$E$87:$E$92</c:f>
              <c:numCache>
                <c:formatCode>0.0%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9E2A-4DE3-B2D9-67692688D1AE}"/>
            </c:ext>
          </c:extLst>
        </c:ser>
        <c:dLbls>
          <c:showLegendKey val="0"/>
          <c:showVal val="0"/>
          <c:showCatName val="0"/>
          <c:showSerName val="0"/>
          <c:showPercent val="0"/>
          <c:showBubbleSize val="0"/>
        </c:dLbls>
        <c:marker val="1"/>
        <c:smooth val="0"/>
        <c:axId val="419813072"/>
        <c:axId val="419812680"/>
      </c:lineChart>
      <c:catAx>
        <c:axId val="41981620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20128"/>
        <c:crosses val="autoZero"/>
        <c:auto val="1"/>
        <c:lblAlgn val="ctr"/>
        <c:lblOffset val="100"/>
        <c:noMultiLvlLbl val="0"/>
      </c:catAx>
      <c:valAx>
        <c:axId val="41982012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16208"/>
        <c:crosses val="autoZero"/>
        <c:crossBetween val="between"/>
      </c:valAx>
      <c:valAx>
        <c:axId val="419812680"/>
        <c:scaling>
          <c:orientation val="minMax"/>
        </c:scaling>
        <c:delete val="0"/>
        <c:axPos val="r"/>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13072"/>
        <c:crosses val="max"/>
        <c:crossBetween val="between"/>
      </c:valAx>
      <c:catAx>
        <c:axId val="419813072"/>
        <c:scaling>
          <c:orientation val="minMax"/>
        </c:scaling>
        <c:delete val="1"/>
        <c:axPos val="b"/>
        <c:numFmt formatCode="General" sourceLinked="1"/>
        <c:majorTickMark val="none"/>
        <c:minorTickMark val="none"/>
        <c:tickLblPos val="nextTo"/>
        <c:crossAx val="41981268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Cores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Charting!$B$87:$B$92</c:f>
              <c:strCache>
                <c:ptCount val="6"/>
                <c:pt idx="0">
                  <c:v>SKU 1</c:v>
                </c:pt>
                <c:pt idx="1">
                  <c:v>SKU 2</c:v>
                </c:pt>
                <c:pt idx="2">
                  <c:v>SKU 3</c:v>
                </c:pt>
                <c:pt idx="3">
                  <c:v>SKU 4</c:v>
                </c:pt>
                <c:pt idx="4">
                  <c:v>SKU 5</c:v>
                </c:pt>
                <c:pt idx="5">
                  <c:v>SKU 6</c:v>
                </c:pt>
              </c:strCache>
            </c:strRef>
          </c:cat>
          <c:val>
            <c:numRef>
              <c:f>Charting!$C$87:$C$92</c:f>
              <c:numCache>
                <c:formatCode>General</c:formatCode>
                <c:ptCount val="6"/>
                <c:pt idx="0">
                  <c:v>53.099999999999994</c:v>
                </c:pt>
                <c:pt idx="1">
                  <c:v>53.099999999999994</c:v>
                </c:pt>
                <c:pt idx="2">
                  <c:v>142.69999999999999</c:v>
                </c:pt>
                <c:pt idx="3">
                  <c:v>424.3</c:v>
                </c:pt>
                <c:pt idx="4">
                  <c:v>104.3</c:v>
                </c:pt>
                <c:pt idx="5">
                  <c:v>1294.7</c:v>
                </c:pt>
              </c:numCache>
            </c:numRef>
          </c:val>
          <c:extLst>
            <c:ext xmlns:c16="http://schemas.microsoft.com/office/drawing/2014/chart" uri="{C3380CC4-5D6E-409C-BE32-E72D297353CC}">
              <c16:uniqueId val="{00000000-77F2-47E3-AB5D-D675D98B8767}"/>
            </c:ext>
          </c:extLst>
        </c:ser>
        <c:dLbls>
          <c:dLblPos val="inEnd"/>
          <c:showLegendKey val="0"/>
          <c:showVal val="1"/>
          <c:showCatName val="0"/>
          <c:showSerName val="0"/>
          <c:showPercent val="0"/>
          <c:showBubbleSize val="0"/>
        </c:dLbls>
        <c:gapWidth val="100"/>
        <c:overlap val="-24"/>
        <c:axId val="419816600"/>
        <c:axId val="419816992"/>
      </c:barChart>
      <c:catAx>
        <c:axId val="41981660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16992"/>
        <c:crosses val="autoZero"/>
        <c:auto val="1"/>
        <c:lblAlgn val="ctr"/>
        <c:lblOffset val="100"/>
        <c:noMultiLvlLbl val="0"/>
      </c:catAx>
      <c:valAx>
        <c:axId val="41981699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166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Memory per</a:t>
            </a:r>
            <a:r>
              <a:rPr lang="en-US" sz="1200" baseline="0"/>
              <a:t> SKU</a:t>
            </a:r>
            <a:endParaRPr lang="en-US" sz="1200"/>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Charting!$N$86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Charting!$M$87:$M$92</c:f>
              <c:strCache>
                <c:ptCount val="6"/>
                <c:pt idx="0">
                  <c:v>SKU 1</c:v>
                </c:pt>
                <c:pt idx="1">
                  <c:v>SKU 2</c:v>
                </c:pt>
                <c:pt idx="2">
                  <c:v>SKU 3</c:v>
                </c:pt>
                <c:pt idx="3">
                  <c:v>SKU 4</c:v>
                </c:pt>
                <c:pt idx="4">
                  <c:v>SKU 5</c:v>
                </c:pt>
                <c:pt idx="5">
                  <c:v>SKU 6</c:v>
                </c:pt>
              </c:strCache>
            </c:strRef>
          </c:cat>
          <c:val>
            <c:numRef>
              <c:f>Charting!$N$87:$N$92</c:f>
              <c:numCache>
                <c:formatCode>General</c:formatCode>
                <c:ptCount val="6"/>
                <c:pt idx="0">
                  <c:v>348.79999999999995</c:v>
                </c:pt>
                <c:pt idx="1">
                  <c:v>1001.5999999999999</c:v>
                </c:pt>
                <c:pt idx="2">
                  <c:v>2670.4</c:v>
                </c:pt>
                <c:pt idx="3">
                  <c:v>6008</c:v>
                </c:pt>
                <c:pt idx="4">
                  <c:v>1654.4</c:v>
                </c:pt>
                <c:pt idx="5">
                  <c:v>19064</c:v>
                </c:pt>
              </c:numCache>
            </c:numRef>
          </c:val>
          <c:extLst>
            <c:ext xmlns:c16="http://schemas.microsoft.com/office/drawing/2014/chart" uri="{C3380CC4-5D6E-409C-BE32-E72D297353CC}">
              <c16:uniqueId val="{00000000-5A61-4444-8DBC-ABE4E73CA0FD}"/>
            </c:ext>
          </c:extLst>
        </c:ser>
        <c:ser>
          <c:idx val="1"/>
          <c:order val="1"/>
          <c:tx>
            <c:strRef>
              <c:f>Charting!$O$86</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Charting!$M$87:$M$92</c:f>
              <c:strCache>
                <c:ptCount val="6"/>
                <c:pt idx="0">
                  <c:v>SKU 1</c:v>
                </c:pt>
                <c:pt idx="1">
                  <c:v>SKU 2</c:v>
                </c:pt>
                <c:pt idx="2">
                  <c:v>SKU 3</c:v>
                </c:pt>
                <c:pt idx="3">
                  <c:v>SKU 4</c:v>
                </c:pt>
                <c:pt idx="4">
                  <c:v>SKU 5</c:v>
                </c:pt>
                <c:pt idx="5">
                  <c:v>SKU 6</c:v>
                </c:pt>
              </c:strCache>
            </c:strRef>
          </c:cat>
          <c:val>
            <c:numRef>
              <c:f>Charting!$O$87:$O$92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5A61-4444-8DBC-ABE4E73CA0FD}"/>
            </c:ext>
          </c:extLst>
        </c:ser>
        <c:dLbls>
          <c:showLegendKey val="0"/>
          <c:showVal val="0"/>
          <c:showCatName val="0"/>
          <c:showSerName val="0"/>
          <c:showPercent val="0"/>
          <c:showBubbleSize val="0"/>
        </c:dLbls>
        <c:gapWidth val="104"/>
        <c:overlap val="-27"/>
        <c:axId val="420600576"/>
        <c:axId val="420607240"/>
      </c:barChart>
      <c:lineChart>
        <c:grouping val="standard"/>
        <c:varyColors val="0"/>
        <c:ser>
          <c:idx val="2"/>
          <c:order val="2"/>
          <c:tx>
            <c:strRef>
              <c:f>Charting!$P$86</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Charting!$M$87:$M$92</c:f>
              <c:strCache>
                <c:ptCount val="6"/>
                <c:pt idx="0">
                  <c:v>SKU 1</c:v>
                </c:pt>
                <c:pt idx="1">
                  <c:v>SKU 2</c:v>
                </c:pt>
                <c:pt idx="2">
                  <c:v>SKU 3</c:v>
                </c:pt>
                <c:pt idx="3">
                  <c:v>SKU 4</c:v>
                </c:pt>
                <c:pt idx="4">
                  <c:v>SKU 5</c:v>
                </c:pt>
                <c:pt idx="5">
                  <c:v>SKU 6</c:v>
                </c:pt>
              </c:strCache>
            </c:strRef>
          </c:cat>
          <c:val>
            <c:numRef>
              <c:f>Charting!$P$87:$P$92</c:f>
              <c:numCache>
                <c:formatCode>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5A61-4444-8DBC-ABE4E73CA0FD}"/>
            </c:ext>
          </c:extLst>
        </c:ser>
        <c:dLbls>
          <c:showLegendKey val="0"/>
          <c:showVal val="0"/>
          <c:showCatName val="0"/>
          <c:showSerName val="0"/>
          <c:showPercent val="0"/>
          <c:showBubbleSize val="0"/>
        </c:dLbls>
        <c:marker val="1"/>
        <c:smooth val="0"/>
        <c:axId val="420601752"/>
        <c:axId val="420607632"/>
      </c:lineChart>
      <c:catAx>
        <c:axId val="42060057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7240"/>
        <c:crosses val="autoZero"/>
        <c:auto val="1"/>
        <c:lblAlgn val="ctr"/>
        <c:lblOffset val="100"/>
        <c:noMultiLvlLbl val="0"/>
      </c:catAx>
      <c:valAx>
        <c:axId val="42060724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0576"/>
        <c:crosses val="autoZero"/>
        <c:crossBetween val="between"/>
      </c:valAx>
      <c:valAx>
        <c:axId val="420607632"/>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1752"/>
        <c:crosses val="max"/>
        <c:crossBetween val="between"/>
      </c:valAx>
      <c:catAx>
        <c:axId val="420601752"/>
        <c:scaling>
          <c:orientation val="minMax"/>
        </c:scaling>
        <c:delete val="1"/>
        <c:axPos val="b"/>
        <c:numFmt formatCode="General" sourceLinked="1"/>
        <c:majorTickMark val="none"/>
        <c:minorTickMark val="none"/>
        <c:tickLblPos val="nextTo"/>
        <c:crossAx val="42060763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Available Memory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Charting!$M$87:$M$92</c:f>
              <c:strCache>
                <c:ptCount val="6"/>
                <c:pt idx="0">
                  <c:v>SKU 1</c:v>
                </c:pt>
                <c:pt idx="1">
                  <c:v>SKU 2</c:v>
                </c:pt>
                <c:pt idx="2">
                  <c:v>SKU 3</c:v>
                </c:pt>
                <c:pt idx="3">
                  <c:v>SKU 4</c:v>
                </c:pt>
                <c:pt idx="4">
                  <c:v>SKU 5</c:v>
                </c:pt>
                <c:pt idx="5">
                  <c:v>SKU 6</c:v>
                </c:pt>
              </c:strCache>
            </c:strRef>
          </c:cat>
          <c:val>
            <c:numRef>
              <c:f>Charting!$N$87:$N$92</c:f>
              <c:numCache>
                <c:formatCode>General</c:formatCode>
                <c:ptCount val="6"/>
                <c:pt idx="0">
                  <c:v>348.79999999999995</c:v>
                </c:pt>
                <c:pt idx="1">
                  <c:v>1001.5999999999999</c:v>
                </c:pt>
                <c:pt idx="2">
                  <c:v>2670.4</c:v>
                </c:pt>
                <c:pt idx="3">
                  <c:v>6008</c:v>
                </c:pt>
                <c:pt idx="4">
                  <c:v>1654.4</c:v>
                </c:pt>
                <c:pt idx="5">
                  <c:v>19064</c:v>
                </c:pt>
              </c:numCache>
            </c:numRef>
          </c:val>
          <c:extLst>
            <c:ext xmlns:c16="http://schemas.microsoft.com/office/drawing/2014/chart" uri="{C3380CC4-5D6E-409C-BE32-E72D297353CC}">
              <c16:uniqueId val="{00000000-EE9C-4A7A-AE71-0092F66605D1}"/>
            </c:ext>
          </c:extLst>
        </c:ser>
        <c:dLbls>
          <c:dLblPos val="inEnd"/>
          <c:showLegendKey val="0"/>
          <c:showVal val="1"/>
          <c:showCatName val="0"/>
          <c:showSerName val="0"/>
          <c:showPercent val="0"/>
          <c:showBubbleSize val="0"/>
        </c:dLbls>
        <c:gapWidth val="100"/>
        <c:overlap val="-24"/>
        <c:axId val="420602536"/>
        <c:axId val="420602144"/>
      </c:barChart>
      <c:catAx>
        <c:axId val="42060253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2144"/>
        <c:crosses val="autoZero"/>
        <c:auto val="1"/>
        <c:lblAlgn val="ctr"/>
        <c:lblOffset val="100"/>
        <c:noMultiLvlLbl val="0"/>
      </c:catAx>
      <c:valAx>
        <c:axId val="4206021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25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TempDisk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Charting!$C$113</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Charting!$B$114:$B$119</c:f>
              <c:strCache>
                <c:ptCount val="6"/>
                <c:pt idx="0">
                  <c:v>SKU 1</c:v>
                </c:pt>
                <c:pt idx="1">
                  <c:v>SKU 2</c:v>
                </c:pt>
                <c:pt idx="2">
                  <c:v>SKU 3</c:v>
                </c:pt>
                <c:pt idx="3">
                  <c:v>SKU 4</c:v>
                </c:pt>
                <c:pt idx="4">
                  <c:v>SKU 5</c:v>
                </c:pt>
                <c:pt idx="5">
                  <c:v>SKU 6</c:v>
                </c:pt>
              </c:strCache>
            </c:strRef>
          </c:cat>
          <c:val>
            <c:numRef>
              <c:f>Charting!$C$114:$C$119</c:f>
              <c:numCache>
                <c:formatCode>0.0</c:formatCode>
                <c:ptCount val="6"/>
                <c:pt idx="0">
                  <c:v>3.3954468866189327</c:v>
                </c:pt>
                <c:pt idx="1">
                  <c:v>5.0931703299283981</c:v>
                </c:pt>
                <c:pt idx="2">
                  <c:v>6.5192580223083496</c:v>
                </c:pt>
                <c:pt idx="3">
                  <c:v>29.103830456733704</c:v>
                </c:pt>
                <c:pt idx="4">
                  <c:v>8.7311491370201111</c:v>
                </c:pt>
                <c:pt idx="5">
                  <c:v>85.681676864624023</c:v>
                </c:pt>
              </c:numCache>
            </c:numRef>
          </c:val>
          <c:extLst>
            <c:ext xmlns:c16="http://schemas.microsoft.com/office/drawing/2014/chart" uri="{C3380CC4-5D6E-409C-BE32-E72D297353CC}">
              <c16:uniqueId val="{00000000-EA3C-43FA-AE99-92CA4FCAA187}"/>
            </c:ext>
          </c:extLst>
        </c:ser>
        <c:ser>
          <c:idx val="1"/>
          <c:order val="1"/>
          <c:tx>
            <c:strRef>
              <c:f>Charting!$D$113</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Charting!$B$114:$B$119</c:f>
              <c:strCache>
                <c:ptCount val="6"/>
                <c:pt idx="0">
                  <c:v>SKU 1</c:v>
                </c:pt>
                <c:pt idx="1">
                  <c:v>SKU 2</c:v>
                </c:pt>
                <c:pt idx="2">
                  <c:v>SKU 3</c:v>
                </c:pt>
                <c:pt idx="3">
                  <c:v>SKU 4</c:v>
                </c:pt>
                <c:pt idx="4">
                  <c:v>SKU 5</c:v>
                </c:pt>
                <c:pt idx="5">
                  <c:v>SKU 6</c:v>
                </c:pt>
              </c:strCache>
            </c:strRef>
          </c:cat>
          <c:val>
            <c:numRef>
              <c:f>Charting!$D$114:$D$119</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EA3C-43FA-AE99-92CA4FCAA187}"/>
            </c:ext>
          </c:extLst>
        </c:ser>
        <c:dLbls>
          <c:showLegendKey val="0"/>
          <c:showVal val="0"/>
          <c:showCatName val="0"/>
          <c:showSerName val="0"/>
          <c:showPercent val="0"/>
          <c:showBubbleSize val="0"/>
        </c:dLbls>
        <c:gapWidth val="219"/>
        <c:overlap val="100"/>
        <c:axId val="420603712"/>
        <c:axId val="420608024"/>
      </c:barChart>
      <c:lineChart>
        <c:grouping val="standard"/>
        <c:varyColors val="0"/>
        <c:ser>
          <c:idx val="2"/>
          <c:order val="2"/>
          <c:tx>
            <c:strRef>
              <c:f>Charting!$E$113</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Charting!$B$114:$B$119</c:f>
              <c:strCache>
                <c:ptCount val="6"/>
                <c:pt idx="0">
                  <c:v>SKU 1</c:v>
                </c:pt>
                <c:pt idx="1">
                  <c:v>SKU 2</c:v>
                </c:pt>
                <c:pt idx="2">
                  <c:v>SKU 3</c:v>
                </c:pt>
                <c:pt idx="3">
                  <c:v>SKU 4</c:v>
                </c:pt>
                <c:pt idx="4">
                  <c:v>SKU 5</c:v>
                </c:pt>
                <c:pt idx="5">
                  <c:v>SKU 6</c:v>
                </c:pt>
              </c:strCache>
            </c:strRef>
          </c:cat>
          <c:val>
            <c:numRef>
              <c:f>Charting!$E$114:$E$119</c:f>
              <c:numCache>
                <c:formatCode>0.0%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EA3C-43FA-AE99-92CA4FCAA187}"/>
            </c:ext>
          </c:extLst>
        </c:ser>
        <c:dLbls>
          <c:showLegendKey val="0"/>
          <c:showVal val="0"/>
          <c:showCatName val="0"/>
          <c:showSerName val="0"/>
          <c:showPercent val="0"/>
          <c:showBubbleSize val="0"/>
        </c:dLbls>
        <c:marker val="1"/>
        <c:smooth val="0"/>
        <c:axId val="420603712"/>
        <c:axId val="420608024"/>
      </c:lineChart>
      <c:catAx>
        <c:axId val="42060371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8024"/>
        <c:crosses val="autoZero"/>
        <c:auto val="1"/>
        <c:lblAlgn val="ctr"/>
        <c:lblOffset val="100"/>
        <c:noMultiLvlLbl val="0"/>
      </c:catAx>
      <c:valAx>
        <c:axId val="420608024"/>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3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TempDisk (TB)</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Charting!$B$114:$B$119</c:f>
              <c:strCache>
                <c:ptCount val="6"/>
                <c:pt idx="0">
                  <c:v>SKU 1</c:v>
                </c:pt>
                <c:pt idx="1">
                  <c:v>SKU 2</c:v>
                </c:pt>
                <c:pt idx="2">
                  <c:v>SKU 3</c:v>
                </c:pt>
                <c:pt idx="3">
                  <c:v>SKU 4</c:v>
                </c:pt>
                <c:pt idx="4">
                  <c:v>SKU 5</c:v>
                </c:pt>
                <c:pt idx="5">
                  <c:v>SKU 6</c:v>
                </c:pt>
              </c:strCache>
            </c:strRef>
          </c:cat>
          <c:val>
            <c:numRef>
              <c:f>Charting!$C$114:$C$119</c:f>
              <c:numCache>
                <c:formatCode>0.0</c:formatCode>
                <c:ptCount val="6"/>
                <c:pt idx="0">
                  <c:v>3.3954468866189327</c:v>
                </c:pt>
                <c:pt idx="1">
                  <c:v>5.0931703299283981</c:v>
                </c:pt>
                <c:pt idx="2">
                  <c:v>6.5192580223083496</c:v>
                </c:pt>
                <c:pt idx="3">
                  <c:v>29.103830456733704</c:v>
                </c:pt>
                <c:pt idx="4">
                  <c:v>8.7311491370201111</c:v>
                </c:pt>
                <c:pt idx="5">
                  <c:v>85.681676864624023</c:v>
                </c:pt>
              </c:numCache>
            </c:numRef>
          </c:val>
          <c:extLst>
            <c:ext xmlns:c16="http://schemas.microsoft.com/office/drawing/2014/chart" uri="{C3380CC4-5D6E-409C-BE32-E72D297353CC}">
              <c16:uniqueId val="{00000000-B4C7-403F-ADC9-D0E35B8034DD}"/>
            </c:ext>
          </c:extLst>
        </c:ser>
        <c:dLbls>
          <c:dLblPos val="inEnd"/>
          <c:showLegendKey val="0"/>
          <c:showVal val="1"/>
          <c:showCatName val="0"/>
          <c:showSerName val="0"/>
          <c:showPercent val="0"/>
          <c:showBubbleSize val="0"/>
        </c:dLbls>
        <c:gapWidth val="100"/>
        <c:overlap val="-24"/>
        <c:axId val="420603320"/>
        <c:axId val="420601360"/>
      </c:barChart>
      <c:catAx>
        <c:axId val="42060332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1360"/>
        <c:crosses val="autoZero"/>
        <c:auto val="1"/>
        <c:lblAlgn val="ctr"/>
        <c:lblOffset val="100"/>
        <c:noMultiLvlLbl val="0"/>
      </c:catAx>
      <c:valAx>
        <c:axId val="420601360"/>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33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Disk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Charting!$N$113</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Charting!$M$114:$M$119</c:f>
              <c:strCache>
                <c:ptCount val="6"/>
                <c:pt idx="0">
                  <c:v>SKU 1</c:v>
                </c:pt>
                <c:pt idx="1">
                  <c:v>SKU 2</c:v>
                </c:pt>
                <c:pt idx="2">
                  <c:v>SKU 3</c:v>
                </c:pt>
                <c:pt idx="3">
                  <c:v>SKU 4</c:v>
                </c:pt>
                <c:pt idx="4">
                  <c:v>SKU 5</c:v>
                </c:pt>
                <c:pt idx="5">
                  <c:v>SKU 6</c:v>
                </c:pt>
              </c:strCache>
            </c:strRef>
          </c:cat>
          <c:val>
            <c:numRef>
              <c:f>Charting!$N$114:$N$119</c:f>
              <c:numCache>
                <c:formatCode>0.0</c:formatCode>
                <c:ptCount val="6"/>
                <c:pt idx="0">
                  <c:v>27.141053229570389</c:v>
                </c:pt>
                <c:pt idx="1">
                  <c:v>42.420564219355583</c:v>
                </c:pt>
                <c:pt idx="2">
                  <c:v>55.255353450775146</c:v>
                </c:pt>
                <c:pt idx="3">
                  <c:v>258.51650536060333</c:v>
                </c:pt>
                <c:pt idx="4">
                  <c:v>75.162373483181</c:v>
                </c:pt>
                <c:pt idx="5">
                  <c:v>767.7171230316161</c:v>
                </c:pt>
              </c:numCache>
            </c:numRef>
          </c:val>
          <c:extLst>
            <c:ext xmlns:c16="http://schemas.microsoft.com/office/drawing/2014/chart" uri="{C3380CC4-5D6E-409C-BE32-E72D297353CC}">
              <c16:uniqueId val="{00000000-FCAB-4B94-9329-2C9130D963EE}"/>
            </c:ext>
          </c:extLst>
        </c:ser>
        <c:ser>
          <c:idx val="1"/>
          <c:order val="1"/>
          <c:tx>
            <c:strRef>
              <c:f>Charting!$O$113</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Charting!$M$114:$M$119</c:f>
              <c:strCache>
                <c:ptCount val="6"/>
                <c:pt idx="0">
                  <c:v>SKU 1</c:v>
                </c:pt>
                <c:pt idx="1">
                  <c:v>SKU 2</c:v>
                </c:pt>
                <c:pt idx="2">
                  <c:v>SKU 3</c:v>
                </c:pt>
                <c:pt idx="3">
                  <c:v>SKU 4</c:v>
                </c:pt>
                <c:pt idx="4">
                  <c:v>SKU 5</c:v>
                </c:pt>
                <c:pt idx="5">
                  <c:v>SKU 6</c:v>
                </c:pt>
              </c:strCache>
            </c:strRef>
          </c:cat>
          <c:val>
            <c:numRef>
              <c:f>Charting!$O$114:$O$119</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FCAB-4B94-9329-2C9130D963EE}"/>
            </c:ext>
          </c:extLst>
        </c:ser>
        <c:dLbls>
          <c:showLegendKey val="0"/>
          <c:showVal val="0"/>
          <c:showCatName val="0"/>
          <c:showSerName val="0"/>
          <c:showPercent val="0"/>
          <c:showBubbleSize val="0"/>
        </c:dLbls>
        <c:gapWidth val="219"/>
        <c:overlap val="100"/>
        <c:axId val="420604888"/>
        <c:axId val="420606456"/>
      </c:barChart>
      <c:lineChart>
        <c:grouping val="standard"/>
        <c:varyColors val="0"/>
        <c:ser>
          <c:idx val="2"/>
          <c:order val="2"/>
          <c:tx>
            <c:strRef>
              <c:f>Charting!$P$113</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Charting!$M$114:$M$119</c:f>
              <c:strCache>
                <c:ptCount val="6"/>
                <c:pt idx="0">
                  <c:v>SKU 1</c:v>
                </c:pt>
                <c:pt idx="1">
                  <c:v>SKU 2</c:v>
                </c:pt>
                <c:pt idx="2">
                  <c:v>SKU 3</c:v>
                </c:pt>
                <c:pt idx="3">
                  <c:v>SKU 4</c:v>
                </c:pt>
                <c:pt idx="4">
                  <c:v>SKU 5</c:v>
                </c:pt>
                <c:pt idx="5">
                  <c:v>SKU 6</c:v>
                </c:pt>
              </c:strCache>
            </c:strRef>
          </c:cat>
          <c:val>
            <c:numRef>
              <c:f>Charting!$P$114:$P$119</c:f>
              <c:numCache>
                <c:formatCode>0.0%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FCAB-4B94-9329-2C9130D963EE}"/>
            </c:ext>
          </c:extLst>
        </c:ser>
        <c:dLbls>
          <c:showLegendKey val="0"/>
          <c:showVal val="0"/>
          <c:showCatName val="0"/>
          <c:showSerName val="0"/>
          <c:showPercent val="0"/>
          <c:showBubbleSize val="0"/>
        </c:dLbls>
        <c:marker val="1"/>
        <c:smooth val="0"/>
        <c:axId val="420604888"/>
        <c:axId val="420606456"/>
      </c:lineChart>
      <c:catAx>
        <c:axId val="4206048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6456"/>
        <c:crosses val="autoZero"/>
        <c:auto val="1"/>
        <c:lblAlgn val="ctr"/>
        <c:lblOffset val="100"/>
        <c:noMultiLvlLbl val="0"/>
      </c:catAx>
      <c:valAx>
        <c:axId val="42060645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4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a:t>
            </a:r>
            <a:r>
              <a:rPr lang="en-US" sz="1200" baseline="0"/>
              <a:t> Disk (TB)</a:t>
            </a:r>
            <a:endParaRPr lang="en-US" sz="1200"/>
          </a:p>
        </c:rich>
      </c:tx>
      <c:overlay val="0"/>
      <c:spPr>
        <a:noFill/>
        <a:ln>
          <a:noFill/>
        </a:ln>
        <a:effectLst/>
      </c:spPr>
      <c:txPr>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Charting!$M$114:$M$119</c:f>
              <c:strCache>
                <c:ptCount val="6"/>
                <c:pt idx="0">
                  <c:v>SKU 1</c:v>
                </c:pt>
                <c:pt idx="1">
                  <c:v>SKU 2</c:v>
                </c:pt>
                <c:pt idx="2">
                  <c:v>SKU 3</c:v>
                </c:pt>
                <c:pt idx="3">
                  <c:v>SKU 4</c:v>
                </c:pt>
                <c:pt idx="4">
                  <c:v>SKU 5</c:v>
                </c:pt>
                <c:pt idx="5">
                  <c:v>SKU 6</c:v>
                </c:pt>
              </c:strCache>
            </c:strRef>
          </c:cat>
          <c:val>
            <c:numRef>
              <c:f>Charting!$N$114:$N$119</c:f>
              <c:numCache>
                <c:formatCode>0.0</c:formatCode>
                <c:ptCount val="6"/>
                <c:pt idx="0">
                  <c:v>27.141053229570389</c:v>
                </c:pt>
                <c:pt idx="1">
                  <c:v>42.420564219355583</c:v>
                </c:pt>
                <c:pt idx="2">
                  <c:v>55.255353450775146</c:v>
                </c:pt>
                <c:pt idx="3">
                  <c:v>258.51650536060333</c:v>
                </c:pt>
                <c:pt idx="4">
                  <c:v>75.162373483181</c:v>
                </c:pt>
                <c:pt idx="5">
                  <c:v>767.7171230316161</c:v>
                </c:pt>
              </c:numCache>
            </c:numRef>
          </c:val>
          <c:extLst>
            <c:ext xmlns:c16="http://schemas.microsoft.com/office/drawing/2014/chart" uri="{C3380CC4-5D6E-409C-BE32-E72D297353CC}">
              <c16:uniqueId val="{00000000-81F5-4853-8933-F94EF6F1F5FE}"/>
            </c:ext>
          </c:extLst>
        </c:ser>
        <c:dLbls>
          <c:dLblPos val="inEnd"/>
          <c:showLegendKey val="0"/>
          <c:showVal val="1"/>
          <c:showCatName val="0"/>
          <c:showSerName val="0"/>
          <c:showPercent val="0"/>
          <c:showBubbleSize val="0"/>
        </c:dLbls>
        <c:gapWidth val="100"/>
        <c:overlap val="-24"/>
        <c:axId val="420606064"/>
        <c:axId val="420606848"/>
      </c:barChart>
      <c:catAx>
        <c:axId val="42060606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6848"/>
        <c:crosses val="autoZero"/>
        <c:auto val="1"/>
        <c:lblAlgn val="ctr"/>
        <c:lblOffset val="100"/>
        <c:noMultiLvlLbl val="0"/>
      </c:catAx>
      <c:valAx>
        <c:axId val="420606848"/>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60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CPU Cores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Charting!$C$186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Charting!$B$187:$B$192</c:f>
              <c:strCache>
                <c:ptCount val="6"/>
                <c:pt idx="0">
                  <c:v>SKU 1</c:v>
                </c:pt>
                <c:pt idx="1">
                  <c:v>SKU 2</c:v>
                </c:pt>
                <c:pt idx="2">
                  <c:v>SKU 3</c:v>
                </c:pt>
                <c:pt idx="3">
                  <c:v>SKU 4</c:v>
                </c:pt>
                <c:pt idx="4">
                  <c:v>SKU 5</c:v>
                </c:pt>
                <c:pt idx="5">
                  <c:v>SKU 6</c:v>
                </c:pt>
              </c:strCache>
            </c:strRef>
          </c:cat>
          <c:val>
            <c:numRef>
              <c:f>Charting!$C$187:$C$192</c:f>
              <c:numCache>
                <c:formatCode>0</c:formatCode>
                <c:ptCount val="6"/>
                <c:pt idx="0">
                  <c:v>53.099999999999994</c:v>
                </c:pt>
                <c:pt idx="1">
                  <c:v>142.69999999999999</c:v>
                </c:pt>
                <c:pt idx="2">
                  <c:v>142.69999999999999</c:v>
                </c:pt>
                <c:pt idx="3">
                  <c:v>193.9</c:v>
                </c:pt>
                <c:pt idx="4">
                  <c:v>385.9</c:v>
                </c:pt>
                <c:pt idx="5">
                  <c:v>1294.7</c:v>
                </c:pt>
              </c:numCache>
            </c:numRef>
          </c:val>
          <c:extLst>
            <c:ext xmlns:c16="http://schemas.microsoft.com/office/drawing/2014/chart" uri="{C3380CC4-5D6E-409C-BE32-E72D297353CC}">
              <c16:uniqueId val="{00000000-6178-47E6-91C3-3594CCF6DEBA}"/>
            </c:ext>
          </c:extLst>
        </c:ser>
        <c:ser>
          <c:idx val="1"/>
          <c:order val="1"/>
          <c:tx>
            <c:strRef>
              <c:f>Charting!$D$186</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Charting!$B$187:$B$192</c:f>
              <c:strCache>
                <c:ptCount val="6"/>
                <c:pt idx="0">
                  <c:v>SKU 1</c:v>
                </c:pt>
                <c:pt idx="1">
                  <c:v>SKU 2</c:v>
                </c:pt>
                <c:pt idx="2">
                  <c:v>SKU 3</c:v>
                </c:pt>
                <c:pt idx="3">
                  <c:v>SKU 4</c:v>
                </c:pt>
                <c:pt idx="4">
                  <c:v>SKU 5</c:v>
                </c:pt>
                <c:pt idx="5">
                  <c:v>SKU 6</c:v>
                </c:pt>
              </c:strCache>
            </c:strRef>
          </c:cat>
          <c:val>
            <c:numRef>
              <c:f>Charting!$D$187:$D$192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6178-47E6-91C3-3594CCF6DEBA}"/>
            </c:ext>
          </c:extLst>
        </c:ser>
        <c:dLbls>
          <c:showLegendKey val="0"/>
          <c:showVal val="0"/>
          <c:showCatName val="0"/>
          <c:showSerName val="0"/>
          <c:showPercent val="0"/>
          <c:showBubbleSize val="0"/>
        </c:dLbls>
        <c:gapWidth val="219"/>
        <c:overlap val="100"/>
        <c:axId val="420409080"/>
        <c:axId val="420409472"/>
      </c:barChart>
      <c:lineChart>
        <c:grouping val="standard"/>
        <c:varyColors val="0"/>
        <c:ser>
          <c:idx val="2"/>
          <c:order val="2"/>
          <c:tx>
            <c:strRef>
              <c:f>Charting!$E$186</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Charting!$B$187:$B$192</c:f>
              <c:strCache>
                <c:ptCount val="6"/>
                <c:pt idx="0">
                  <c:v>SKU 1</c:v>
                </c:pt>
                <c:pt idx="1">
                  <c:v>SKU 2</c:v>
                </c:pt>
                <c:pt idx="2">
                  <c:v>SKU 3</c:v>
                </c:pt>
                <c:pt idx="3">
                  <c:v>SKU 4</c:v>
                </c:pt>
                <c:pt idx="4">
                  <c:v>SKU 5</c:v>
                </c:pt>
                <c:pt idx="5">
                  <c:v>SKU 6</c:v>
                </c:pt>
              </c:strCache>
            </c:strRef>
          </c:cat>
          <c:val>
            <c:numRef>
              <c:f>Charting!$E$187:$E$192</c:f>
              <c:numCache>
                <c:formatCode>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6178-47E6-91C3-3594CCF6DEBA}"/>
            </c:ext>
          </c:extLst>
        </c:ser>
        <c:dLbls>
          <c:showLegendKey val="0"/>
          <c:showVal val="0"/>
          <c:showCatName val="0"/>
          <c:showSerName val="0"/>
          <c:showPercent val="0"/>
          <c:showBubbleSize val="0"/>
        </c:dLbls>
        <c:marker val="1"/>
        <c:smooth val="0"/>
        <c:axId val="420409080"/>
        <c:axId val="420409472"/>
      </c:lineChart>
      <c:catAx>
        <c:axId val="42040908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09472"/>
        <c:crosses val="autoZero"/>
        <c:auto val="1"/>
        <c:lblAlgn val="ctr"/>
        <c:lblOffset val="100"/>
        <c:noMultiLvlLbl val="0"/>
      </c:catAx>
      <c:valAx>
        <c:axId val="42040947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09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Cores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Charting!$B$187:$B$192</c:f>
              <c:strCache>
                <c:ptCount val="6"/>
                <c:pt idx="0">
                  <c:v>SKU 1</c:v>
                </c:pt>
                <c:pt idx="1">
                  <c:v>SKU 2</c:v>
                </c:pt>
                <c:pt idx="2">
                  <c:v>SKU 3</c:v>
                </c:pt>
                <c:pt idx="3">
                  <c:v>SKU 4</c:v>
                </c:pt>
                <c:pt idx="4">
                  <c:v>SKU 5</c:v>
                </c:pt>
                <c:pt idx="5">
                  <c:v>SKU 6</c:v>
                </c:pt>
              </c:strCache>
            </c:strRef>
          </c:cat>
          <c:val>
            <c:numRef>
              <c:f>Charting!$C$187:$C$192</c:f>
              <c:numCache>
                <c:formatCode>0</c:formatCode>
                <c:ptCount val="6"/>
                <c:pt idx="0">
                  <c:v>53.099999999999994</c:v>
                </c:pt>
                <c:pt idx="1">
                  <c:v>142.69999999999999</c:v>
                </c:pt>
                <c:pt idx="2">
                  <c:v>142.69999999999999</c:v>
                </c:pt>
                <c:pt idx="3">
                  <c:v>193.9</c:v>
                </c:pt>
                <c:pt idx="4">
                  <c:v>385.9</c:v>
                </c:pt>
                <c:pt idx="5">
                  <c:v>1294.7</c:v>
                </c:pt>
              </c:numCache>
            </c:numRef>
          </c:val>
          <c:extLst>
            <c:ext xmlns:c16="http://schemas.microsoft.com/office/drawing/2014/chart" uri="{C3380CC4-5D6E-409C-BE32-E72D297353CC}">
              <c16:uniqueId val="{00000000-75C3-4929-A121-EF6F07813805}"/>
            </c:ext>
          </c:extLst>
        </c:ser>
        <c:dLbls>
          <c:dLblPos val="inEnd"/>
          <c:showLegendKey val="0"/>
          <c:showVal val="1"/>
          <c:showCatName val="0"/>
          <c:showSerName val="0"/>
          <c:showPercent val="0"/>
          <c:showBubbleSize val="0"/>
        </c:dLbls>
        <c:gapWidth val="100"/>
        <c:overlap val="-24"/>
        <c:axId val="420412608"/>
        <c:axId val="420413784"/>
      </c:barChart>
      <c:catAx>
        <c:axId val="42041260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3784"/>
        <c:crosses val="autoZero"/>
        <c:auto val="1"/>
        <c:lblAlgn val="ctr"/>
        <c:lblOffset val="100"/>
        <c:noMultiLvlLbl val="0"/>
      </c:catAx>
      <c:valAx>
        <c:axId val="420413784"/>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26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Memory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Charting!$N$186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Charting!$M$187:$M$192</c:f>
              <c:strCache>
                <c:ptCount val="6"/>
                <c:pt idx="0">
                  <c:v>SKU 1</c:v>
                </c:pt>
                <c:pt idx="1">
                  <c:v>SKU 2</c:v>
                </c:pt>
                <c:pt idx="2">
                  <c:v>SKU 3</c:v>
                </c:pt>
                <c:pt idx="3">
                  <c:v>SKU 4</c:v>
                </c:pt>
                <c:pt idx="4">
                  <c:v>SKU 5</c:v>
                </c:pt>
                <c:pt idx="5">
                  <c:v>SKU 6</c:v>
                </c:pt>
              </c:strCache>
            </c:strRef>
          </c:cat>
          <c:val>
            <c:numRef>
              <c:f>Charting!$N$187:$N$192</c:f>
              <c:numCache>
                <c:formatCode>0</c:formatCode>
                <c:ptCount val="6"/>
                <c:pt idx="0">
                  <c:v>348.79999999999995</c:v>
                </c:pt>
                <c:pt idx="1">
                  <c:v>2670.4</c:v>
                </c:pt>
                <c:pt idx="2">
                  <c:v>2670.4</c:v>
                </c:pt>
                <c:pt idx="3">
                  <c:v>2670.4</c:v>
                </c:pt>
                <c:pt idx="4">
                  <c:v>6732.8</c:v>
                </c:pt>
                <c:pt idx="5">
                  <c:v>19064</c:v>
                </c:pt>
              </c:numCache>
            </c:numRef>
          </c:val>
          <c:extLst>
            <c:ext xmlns:c16="http://schemas.microsoft.com/office/drawing/2014/chart" uri="{C3380CC4-5D6E-409C-BE32-E72D297353CC}">
              <c16:uniqueId val="{00000000-DCCC-499B-BACE-657F80D07FAE}"/>
            </c:ext>
          </c:extLst>
        </c:ser>
        <c:ser>
          <c:idx val="1"/>
          <c:order val="1"/>
          <c:tx>
            <c:strRef>
              <c:f>Charting!$O$186</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Charting!$M$187:$M$192</c:f>
              <c:strCache>
                <c:ptCount val="6"/>
                <c:pt idx="0">
                  <c:v>SKU 1</c:v>
                </c:pt>
                <c:pt idx="1">
                  <c:v>SKU 2</c:v>
                </c:pt>
                <c:pt idx="2">
                  <c:v>SKU 3</c:v>
                </c:pt>
                <c:pt idx="3">
                  <c:v>SKU 4</c:v>
                </c:pt>
                <c:pt idx="4">
                  <c:v>SKU 5</c:v>
                </c:pt>
                <c:pt idx="5">
                  <c:v>SKU 6</c:v>
                </c:pt>
              </c:strCache>
            </c:strRef>
          </c:cat>
          <c:val>
            <c:numRef>
              <c:f>Charting!$O$187:$O$192</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DCCC-499B-BACE-657F80D07FAE}"/>
            </c:ext>
          </c:extLst>
        </c:ser>
        <c:dLbls>
          <c:showLegendKey val="0"/>
          <c:showVal val="0"/>
          <c:showCatName val="0"/>
          <c:showSerName val="0"/>
          <c:showPercent val="0"/>
          <c:showBubbleSize val="0"/>
        </c:dLbls>
        <c:gapWidth val="219"/>
        <c:overlap val="100"/>
        <c:axId val="420407120"/>
        <c:axId val="420408688"/>
      </c:barChart>
      <c:lineChart>
        <c:grouping val="standard"/>
        <c:varyColors val="0"/>
        <c:ser>
          <c:idx val="2"/>
          <c:order val="2"/>
          <c:tx>
            <c:strRef>
              <c:f>Charting!$P$186</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Charting!$M$187:$M$192</c:f>
              <c:strCache>
                <c:ptCount val="6"/>
                <c:pt idx="0">
                  <c:v>SKU 1</c:v>
                </c:pt>
                <c:pt idx="1">
                  <c:v>SKU 2</c:v>
                </c:pt>
                <c:pt idx="2">
                  <c:v>SKU 3</c:v>
                </c:pt>
                <c:pt idx="3">
                  <c:v>SKU 4</c:v>
                </c:pt>
                <c:pt idx="4">
                  <c:v>SKU 5</c:v>
                </c:pt>
                <c:pt idx="5">
                  <c:v>SKU 6</c:v>
                </c:pt>
              </c:strCache>
            </c:strRef>
          </c:cat>
          <c:val>
            <c:numRef>
              <c:f>Charting!$P$187:$P$192</c:f>
              <c:numCache>
                <c:formatCode>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DCCC-499B-BACE-657F80D07FAE}"/>
            </c:ext>
          </c:extLst>
        </c:ser>
        <c:dLbls>
          <c:showLegendKey val="0"/>
          <c:showVal val="0"/>
          <c:showCatName val="0"/>
          <c:showSerName val="0"/>
          <c:showPercent val="0"/>
          <c:showBubbleSize val="0"/>
        </c:dLbls>
        <c:marker val="1"/>
        <c:smooth val="0"/>
        <c:axId val="420407120"/>
        <c:axId val="420408688"/>
      </c:lineChart>
      <c:catAx>
        <c:axId val="42040712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08688"/>
        <c:crosses val="autoZero"/>
        <c:auto val="1"/>
        <c:lblAlgn val="ctr"/>
        <c:lblOffset val="100"/>
        <c:noMultiLvlLbl val="0"/>
      </c:catAx>
      <c:valAx>
        <c:axId val="42040868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07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Memory - GB</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Charting!$M$187:$M$192</c:f>
              <c:strCache>
                <c:ptCount val="6"/>
                <c:pt idx="0">
                  <c:v>SKU 1</c:v>
                </c:pt>
                <c:pt idx="1">
                  <c:v>SKU 2</c:v>
                </c:pt>
                <c:pt idx="2">
                  <c:v>SKU 3</c:v>
                </c:pt>
                <c:pt idx="3">
                  <c:v>SKU 4</c:v>
                </c:pt>
                <c:pt idx="4">
                  <c:v>SKU 5</c:v>
                </c:pt>
                <c:pt idx="5">
                  <c:v>SKU 6</c:v>
                </c:pt>
              </c:strCache>
            </c:strRef>
          </c:cat>
          <c:val>
            <c:numRef>
              <c:f>Charting!$N$187:$N$192</c:f>
              <c:numCache>
                <c:formatCode>0</c:formatCode>
                <c:ptCount val="6"/>
                <c:pt idx="0">
                  <c:v>348.79999999999995</c:v>
                </c:pt>
                <c:pt idx="1">
                  <c:v>2670.4</c:v>
                </c:pt>
                <c:pt idx="2">
                  <c:v>2670.4</c:v>
                </c:pt>
                <c:pt idx="3">
                  <c:v>2670.4</c:v>
                </c:pt>
                <c:pt idx="4">
                  <c:v>6732.8</c:v>
                </c:pt>
                <c:pt idx="5">
                  <c:v>19064</c:v>
                </c:pt>
              </c:numCache>
            </c:numRef>
          </c:val>
          <c:extLst>
            <c:ext xmlns:c16="http://schemas.microsoft.com/office/drawing/2014/chart" uri="{C3380CC4-5D6E-409C-BE32-E72D297353CC}">
              <c16:uniqueId val="{00000000-34DD-49D1-9B10-BA88994A7886}"/>
            </c:ext>
          </c:extLst>
        </c:ser>
        <c:dLbls>
          <c:dLblPos val="inEnd"/>
          <c:showLegendKey val="0"/>
          <c:showVal val="1"/>
          <c:showCatName val="0"/>
          <c:showSerName val="0"/>
          <c:showPercent val="0"/>
          <c:showBubbleSize val="0"/>
        </c:dLbls>
        <c:gapWidth val="100"/>
        <c:overlap val="-24"/>
        <c:axId val="420410256"/>
        <c:axId val="420411432"/>
      </c:barChart>
      <c:catAx>
        <c:axId val="42041025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1432"/>
        <c:crosses val="autoZero"/>
        <c:auto val="1"/>
        <c:lblAlgn val="ctr"/>
        <c:lblOffset val="100"/>
        <c:noMultiLvlLbl val="0"/>
      </c:catAx>
      <c:valAx>
        <c:axId val="42041143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02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TempDisk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Charting!$C$210</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Charting!$B$211:$B$216</c:f>
              <c:strCache>
                <c:ptCount val="6"/>
                <c:pt idx="0">
                  <c:v>SKU 1</c:v>
                </c:pt>
                <c:pt idx="1">
                  <c:v>SKU 2</c:v>
                </c:pt>
                <c:pt idx="2">
                  <c:v>SKU 3</c:v>
                </c:pt>
                <c:pt idx="3">
                  <c:v>SKU 4</c:v>
                </c:pt>
                <c:pt idx="4">
                  <c:v>SKU 5</c:v>
                </c:pt>
                <c:pt idx="5">
                  <c:v>SKU 6</c:v>
                </c:pt>
              </c:strCache>
            </c:strRef>
          </c:cat>
          <c:val>
            <c:numRef>
              <c:f>Charting!$C$211:$C$216</c:f>
              <c:numCache>
                <c:formatCode>0</c:formatCode>
                <c:ptCount val="6"/>
                <c:pt idx="0">
                  <c:v>3.3954468866189327</c:v>
                </c:pt>
                <c:pt idx="1">
                  <c:v>10.186340659856796</c:v>
                </c:pt>
                <c:pt idx="2">
                  <c:v>6.5192580223083496</c:v>
                </c:pt>
                <c:pt idx="3">
                  <c:v>14.551915228366852</c:v>
                </c:pt>
                <c:pt idx="4">
                  <c:v>26.193447411060333</c:v>
                </c:pt>
                <c:pt idx="5">
                  <c:v>85.681676864624023</c:v>
                </c:pt>
              </c:numCache>
            </c:numRef>
          </c:val>
          <c:extLst>
            <c:ext xmlns:c16="http://schemas.microsoft.com/office/drawing/2014/chart" uri="{C3380CC4-5D6E-409C-BE32-E72D297353CC}">
              <c16:uniqueId val="{00000000-0290-457B-B98D-D12C636471C1}"/>
            </c:ext>
          </c:extLst>
        </c:ser>
        <c:ser>
          <c:idx val="1"/>
          <c:order val="1"/>
          <c:tx>
            <c:strRef>
              <c:f>Charting!$D$210</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Charting!$B$211:$B$216</c:f>
              <c:strCache>
                <c:ptCount val="6"/>
                <c:pt idx="0">
                  <c:v>SKU 1</c:v>
                </c:pt>
                <c:pt idx="1">
                  <c:v>SKU 2</c:v>
                </c:pt>
                <c:pt idx="2">
                  <c:v>SKU 3</c:v>
                </c:pt>
                <c:pt idx="3">
                  <c:v>SKU 4</c:v>
                </c:pt>
                <c:pt idx="4">
                  <c:v>SKU 5</c:v>
                </c:pt>
                <c:pt idx="5">
                  <c:v>SKU 6</c:v>
                </c:pt>
              </c:strCache>
            </c:strRef>
          </c:cat>
          <c:val>
            <c:numRef>
              <c:f>Charting!$D$211:$D$216</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0290-457B-B98D-D12C636471C1}"/>
            </c:ext>
          </c:extLst>
        </c:ser>
        <c:dLbls>
          <c:showLegendKey val="0"/>
          <c:showVal val="0"/>
          <c:showCatName val="0"/>
          <c:showSerName val="0"/>
          <c:showPercent val="0"/>
          <c:showBubbleSize val="0"/>
        </c:dLbls>
        <c:gapWidth val="219"/>
        <c:overlap val="100"/>
        <c:axId val="420413000"/>
        <c:axId val="420407512"/>
      </c:barChart>
      <c:lineChart>
        <c:grouping val="standard"/>
        <c:varyColors val="0"/>
        <c:ser>
          <c:idx val="2"/>
          <c:order val="2"/>
          <c:tx>
            <c:strRef>
              <c:f>Charting!$E$210</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Charting!$B$211:$B$216</c:f>
              <c:strCache>
                <c:ptCount val="6"/>
                <c:pt idx="0">
                  <c:v>SKU 1</c:v>
                </c:pt>
                <c:pt idx="1">
                  <c:v>SKU 2</c:v>
                </c:pt>
                <c:pt idx="2">
                  <c:v>SKU 3</c:v>
                </c:pt>
                <c:pt idx="3">
                  <c:v>SKU 4</c:v>
                </c:pt>
                <c:pt idx="4">
                  <c:v>SKU 5</c:v>
                </c:pt>
                <c:pt idx="5">
                  <c:v>SKU 6</c:v>
                </c:pt>
              </c:strCache>
            </c:strRef>
          </c:cat>
          <c:val>
            <c:numRef>
              <c:f>Charting!$E$211:$E$216</c:f>
              <c:numCache>
                <c:formatCode>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0290-457B-B98D-D12C636471C1}"/>
            </c:ext>
          </c:extLst>
        </c:ser>
        <c:dLbls>
          <c:showLegendKey val="0"/>
          <c:showVal val="0"/>
          <c:showCatName val="0"/>
          <c:showSerName val="0"/>
          <c:showPercent val="0"/>
          <c:showBubbleSize val="0"/>
        </c:dLbls>
        <c:marker val="1"/>
        <c:smooth val="0"/>
        <c:axId val="420413000"/>
        <c:axId val="420407512"/>
      </c:lineChart>
      <c:catAx>
        <c:axId val="42041300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07512"/>
        <c:crosses val="autoZero"/>
        <c:auto val="1"/>
        <c:lblAlgn val="ctr"/>
        <c:lblOffset val="100"/>
        <c:noMultiLvlLbl val="0"/>
      </c:catAx>
      <c:valAx>
        <c:axId val="42040751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3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TempDisk (TB)</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Charting!$B$211:$B$216</c:f>
              <c:strCache>
                <c:ptCount val="6"/>
                <c:pt idx="0">
                  <c:v>SKU 1</c:v>
                </c:pt>
                <c:pt idx="1">
                  <c:v>SKU 2</c:v>
                </c:pt>
                <c:pt idx="2">
                  <c:v>SKU 3</c:v>
                </c:pt>
                <c:pt idx="3">
                  <c:v>SKU 4</c:v>
                </c:pt>
                <c:pt idx="4">
                  <c:v>SKU 5</c:v>
                </c:pt>
                <c:pt idx="5">
                  <c:v>SKU 6</c:v>
                </c:pt>
              </c:strCache>
            </c:strRef>
          </c:cat>
          <c:val>
            <c:numRef>
              <c:f>Charting!$C$211:$C$216</c:f>
              <c:numCache>
                <c:formatCode>0</c:formatCode>
                <c:ptCount val="6"/>
                <c:pt idx="0">
                  <c:v>3.3954468866189327</c:v>
                </c:pt>
                <c:pt idx="1">
                  <c:v>10.186340659856796</c:v>
                </c:pt>
                <c:pt idx="2">
                  <c:v>6.5192580223083496</c:v>
                </c:pt>
                <c:pt idx="3">
                  <c:v>14.551915228366852</c:v>
                </c:pt>
                <c:pt idx="4">
                  <c:v>26.193447411060333</c:v>
                </c:pt>
                <c:pt idx="5">
                  <c:v>85.681676864624023</c:v>
                </c:pt>
              </c:numCache>
            </c:numRef>
          </c:val>
          <c:extLst>
            <c:ext xmlns:c16="http://schemas.microsoft.com/office/drawing/2014/chart" uri="{C3380CC4-5D6E-409C-BE32-E72D297353CC}">
              <c16:uniqueId val="{00000000-51B4-4340-B678-144E77A459BB}"/>
            </c:ext>
          </c:extLst>
        </c:ser>
        <c:dLbls>
          <c:dLblPos val="inEnd"/>
          <c:showLegendKey val="0"/>
          <c:showVal val="1"/>
          <c:showCatName val="0"/>
          <c:showSerName val="0"/>
          <c:showPercent val="0"/>
          <c:showBubbleSize val="0"/>
        </c:dLbls>
        <c:gapWidth val="30"/>
        <c:overlap val="-24"/>
        <c:axId val="420413392"/>
        <c:axId val="420414176"/>
      </c:barChart>
      <c:catAx>
        <c:axId val="4204133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4176"/>
        <c:crosses val="autoZero"/>
        <c:auto val="1"/>
        <c:lblAlgn val="ctr"/>
        <c:lblOffset val="100"/>
        <c:noMultiLvlLbl val="0"/>
      </c:catAx>
      <c:valAx>
        <c:axId val="42041417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33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Disk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Charting!$N$210</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Charting!$M$211:$M$216</c:f>
              <c:strCache>
                <c:ptCount val="6"/>
                <c:pt idx="0">
                  <c:v>SKU 1</c:v>
                </c:pt>
                <c:pt idx="1">
                  <c:v>SKU 2</c:v>
                </c:pt>
                <c:pt idx="2">
                  <c:v>SKU 3</c:v>
                </c:pt>
                <c:pt idx="3">
                  <c:v>SKU 4</c:v>
                </c:pt>
                <c:pt idx="4">
                  <c:v>SKU 5</c:v>
                </c:pt>
                <c:pt idx="5">
                  <c:v>SKU 6</c:v>
                </c:pt>
              </c:strCache>
            </c:strRef>
          </c:cat>
          <c:val>
            <c:numRef>
              <c:f>Charting!$N$211:$N$216</c:f>
              <c:numCache>
                <c:formatCode>0</c:formatCode>
                <c:ptCount val="6"/>
                <c:pt idx="0">
                  <c:v>27.141053229570389</c:v>
                </c:pt>
                <c:pt idx="1">
                  <c:v>88.259097188711166</c:v>
                </c:pt>
                <c:pt idx="2">
                  <c:v>55.255353450775146</c:v>
                </c:pt>
                <c:pt idx="3">
                  <c:v>127.54926830530167</c:v>
                </c:pt>
                <c:pt idx="4">
                  <c:v>232.323057949543</c:v>
                </c:pt>
                <c:pt idx="5">
                  <c:v>767.7171230316161</c:v>
                </c:pt>
              </c:numCache>
            </c:numRef>
          </c:val>
          <c:extLst>
            <c:ext xmlns:c16="http://schemas.microsoft.com/office/drawing/2014/chart" uri="{C3380CC4-5D6E-409C-BE32-E72D297353CC}">
              <c16:uniqueId val="{00000000-3D91-43F4-9E30-60E713018322}"/>
            </c:ext>
          </c:extLst>
        </c:ser>
        <c:ser>
          <c:idx val="1"/>
          <c:order val="1"/>
          <c:tx>
            <c:strRef>
              <c:f>Charting!$O$210</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Charting!$M$211:$M$216</c:f>
              <c:strCache>
                <c:ptCount val="6"/>
                <c:pt idx="0">
                  <c:v>SKU 1</c:v>
                </c:pt>
                <c:pt idx="1">
                  <c:v>SKU 2</c:v>
                </c:pt>
                <c:pt idx="2">
                  <c:v>SKU 3</c:v>
                </c:pt>
                <c:pt idx="3">
                  <c:v>SKU 4</c:v>
                </c:pt>
                <c:pt idx="4">
                  <c:v>SKU 5</c:v>
                </c:pt>
                <c:pt idx="5">
                  <c:v>SKU 6</c:v>
                </c:pt>
              </c:strCache>
            </c:strRef>
          </c:cat>
          <c:val>
            <c:numRef>
              <c:f>Charting!$O$211:$O$216</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3D91-43F4-9E30-60E713018322}"/>
            </c:ext>
          </c:extLst>
        </c:ser>
        <c:dLbls>
          <c:showLegendKey val="0"/>
          <c:showVal val="0"/>
          <c:showCatName val="0"/>
          <c:showSerName val="0"/>
          <c:showPercent val="0"/>
          <c:showBubbleSize val="0"/>
        </c:dLbls>
        <c:gapWidth val="85"/>
        <c:overlap val="100"/>
        <c:axId val="420411824"/>
        <c:axId val="421684784"/>
      </c:barChart>
      <c:lineChart>
        <c:grouping val="standard"/>
        <c:varyColors val="0"/>
        <c:ser>
          <c:idx val="2"/>
          <c:order val="2"/>
          <c:tx>
            <c:strRef>
              <c:f>Charting!$P$210</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Charting!$M$211:$M$216</c:f>
              <c:strCache>
                <c:ptCount val="6"/>
                <c:pt idx="0">
                  <c:v>SKU 1</c:v>
                </c:pt>
                <c:pt idx="1">
                  <c:v>SKU 2</c:v>
                </c:pt>
                <c:pt idx="2">
                  <c:v>SKU 3</c:v>
                </c:pt>
                <c:pt idx="3">
                  <c:v>SKU 4</c:v>
                </c:pt>
                <c:pt idx="4">
                  <c:v>SKU 5</c:v>
                </c:pt>
                <c:pt idx="5">
                  <c:v>SKU 6</c:v>
                </c:pt>
              </c:strCache>
            </c:strRef>
          </c:cat>
          <c:val>
            <c:numRef>
              <c:f>Charting!$P$211:$P$216</c:f>
              <c:numCache>
                <c:formatCode>0%</c:formatCode>
                <c:ptCount val="6"/>
                <c:pt idx="0">
                  <c:v>1</c:v>
                </c:pt>
                <c:pt idx="1">
                  <c:v>1</c:v>
                </c:pt>
                <c:pt idx="2">
                  <c:v>1</c:v>
                </c:pt>
                <c:pt idx="3">
                  <c:v>1</c:v>
                </c:pt>
                <c:pt idx="4">
                  <c:v>1</c:v>
                </c:pt>
                <c:pt idx="5">
                  <c:v>1</c:v>
                </c:pt>
              </c:numCache>
            </c:numRef>
          </c:val>
          <c:smooth val="0"/>
          <c:extLst>
            <c:ext xmlns:c16="http://schemas.microsoft.com/office/drawing/2014/chart" uri="{C3380CC4-5D6E-409C-BE32-E72D297353CC}">
              <c16:uniqueId val="{00000002-3D91-43F4-9E30-60E713018322}"/>
            </c:ext>
          </c:extLst>
        </c:ser>
        <c:dLbls>
          <c:showLegendKey val="0"/>
          <c:showVal val="0"/>
          <c:showCatName val="0"/>
          <c:showSerName val="0"/>
          <c:showPercent val="0"/>
          <c:showBubbleSize val="0"/>
        </c:dLbls>
        <c:marker val="1"/>
        <c:smooth val="0"/>
        <c:axId val="420411824"/>
        <c:axId val="421684784"/>
      </c:lineChart>
      <c:catAx>
        <c:axId val="42041182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1684784"/>
        <c:crosses val="autoZero"/>
        <c:auto val="1"/>
        <c:lblAlgn val="ctr"/>
        <c:lblOffset val="100"/>
        <c:noMultiLvlLbl val="0"/>
      </c:catAx>
      <c:valAx>
        <c:axId val="421684784"/>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1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Disk (TB)</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Charting!$M$211:$M$216</c:f>
              <c:strCache>
                <c:ptCount val="6"/>
                <c:pt idx="0">
                  <c:v>SKU 1</c:v>
                </c:pt>
                <c:pt idx="1">
                  <c:v>SKU 2</c:v>
                </c:pt>
                <c:pt idx="2">
                  <c:v>SKU 3</c:v>
                </c:pt>
                <c:pt idx="3">
                  <c:v>SKU 4</c:v>
                </c:pt>
                <c:pt idx="4">
                  <c:v>SKU 5</c:v>
                </c:pt>
                <c:pt idx="5">
                  <c:v>SKU 6</c:v>
                </c:pt>
              </c:strCache>
            </c:strRef>
          </c:cat>
          <c:val>
            <c:numRef>
              <c:f>Charting!$N$211:$N$216</c:f>
              <c:numCache>
                <c:formatCode>0</c:formatCode>
                <c:ptCount val="6"/>
                <c:pt idx="0">
                  <c:v>27.141053229570389</c:v>
                </c:pt>
                <c:pt idx="1">
                  <c:v>88.259097188711166</c:v>
                </c:pt>
                <c:pt idx="2">
                  <c:v>55.255353450775146</c:v>
                </c:pt>
                <c:pt idx="3">
                  <c:v>127.54926830530167</c:v>
                </c:pt>
                <c:pt idx="4">
                  <c:v>232.323057949543</c:v>
                </c:pt>
                <c:pt idx="5">
                  <c:v>767.7171230316161</c:v>
                </c:pt>
              </c:numCache>
            </c:numRef>
          </c:val>
          <c:extLst>
            <c:ext xmlns:c16="http://schemas.microsoft.com/office/drawing/2014/chart" uri="{C3380CC4-5D6E-409C-BE32-E72D297353CC}">
              <c16:uniqueId val="{00000000-A908-466D-9486-BA2C7E135590}"/>
            </c:ext>
          </c:extLst>
        </c:ser>
        <c:dLbls>
          <c:dLblPos val="inEnd"/>
          <c:showLegendKey val="0"/>
          <c:showVal val="1"/>
          <c:showCatName val="0"/>
          <c:showSerName val="0"/>
          <c:showPercent val="0"/>
          <c:showBubbleSize val="0"/>
        </c:dLbls>
        <c:gapWidth val="30"/>
        <c:overlap val="-24"/>
        <c:axId val="421685568"/>
        <c:axId val="421687528"/>
      </c:barChart>
      <c:catAx>
        <c:axId val="4216855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1687528"/>
        <c:crosses val="autoZero"/>
        <c:auto val="1"/>
        <c:lblAlgn val="ctr"/>
        <c:lblOffset val="100"/>
        <c:noMultiLvlLbl val="0"/>
      </c:catAx>
      <c:valAx>
        <c:axId val="4216875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16855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CPU Core Consumption</a:t>
            </a:r>
          </a:p>
        </c:rich>
      </c:tx>
      <c:layout>
        <c:manualLayout>
          <c:xMode val="edge"/>
          <c:yMode val="edge"/>
          <c:x val="1.0951224846894153E-2"/>
          <c:y val="2.3148148148148147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0555555555555555E-2"/>
          <c:y val="0.19689814814814816"/>
          <c:w val="0.875"/>
          <c:h val="0.61849482356372121"/>
        </c:manualLayout>
      </c:layout>
      <c:pie3D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extLst>
              <c:ext xmlns:c16="http://schemas.microsoft.com/office/drawing/2014/chart" uri="{C3380CC4-5D6E-409C-BE32-E72D297353CC}">
                <c16:uniqueId val="{00000007-52DE-4D9C-862E-D6FD8ACE4824}"/>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sp3d/>
            </c:spPr>
            <c:extLst>
              <c:ext xmlns:c16="http://schemas.microsoft.com/office/drawing/2014/chart" uri="{C3380CC4-5D6E-409C-BE32-E72D297353CC}">
                <c16:uniqueId val="{00000006-52DE-4D9C-862E-D6FD8ACE4824}"/>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sp3d/>
            </c:spPr>
            <c:extLst>
              <c:ext xmlns:c16="http://schemas.microsoft.com/office/drawing/2014/chart" uri="{C3380CC4-5D6E-409C-BE32-E72D297353CC}">
                <c16:uniqueId val="{00000005-52DE-4D9C-862E-D6FD8ACE4824}"/>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sp3d/>
            </c:spPr>
            <c:extLst>
              <c:ext xmlns:c16="http://schemas.microsoft.com/office/drawing/2014/chart" uri="{C3380CC4-5D6E-409C-BE32-E72D297353CC}">
                <c16:uniqueId val="{00000004-52DE-4D9C-862E-D6FD8ACE4824}"/>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sp3d/>
            </c:spPr>
            <c:extLst>
              <c:ext xmlns:c16="http://schemas.microsoft.com/office/drawing/2014/chart" uri="{C3380CC4-5D6E-409C-BE32-E72D297353CC}">
                <c16:uniqueId val="{00000003-52DE-4D9C-862E-D6FD8ACE4824}"/>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sp3d/>
            </c:spPr>
            <c:extLst>
              <c:ext xmlns:c16="http://schemas.microsoft.com/office/drawing/2014/chart" uri="{C3380CC4-5D6E-409C-BE32-E72D297353CC}">
                <c16:uniqueId val="{00000002-52DE-4D9C-862E-D6FD8ACE4824}"/>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sp3d/>
            </c:spPr>
            <c:extLst>
              <c:ext xmlns:c16="http://schemas.microsoft.com/office/drawing/2014/chart" uri="{C3380CC4-5D6E-409C-BE32-E72D297353CC}">
                <c16:uniqueId val="{00000001-52DE-4D9C-862E-D6FD8ACE4824}"/>
              </c:ext>
            </c:extLst>
          </c:dPt>
          <c:dLbls>
            <c:delete val="1"/>
          </c:dLbls>
          <c:cat>
            <c:strRef>
              <c:f>Charting!$C$137:$C$143</c:f>
              <c:strCache>
                <c:ptCount val="7"/>
                <c:pt idx="0">
                  <c:v>Workload 1</c:v>
                </c:pt>
                <c:pt idx="1">
                  <c:v>Workload 2</c:v>
                </c:pt>
                <c:pt idx="2">
                  <c:v>Workload 3</c:v>
                </c:pt>
                <c:pt idx="3">
                  <c:v>Workload 4</c:v>
                </c:pt>
                <c:pt idx="4">
                  <c:v>Workload 5</c:v>
                </c:pt>
                <c:pt idx="5">
                  <c:v>Workload 6</c:v>
                </c:pt>
                <c:pt idx="6">
                  <c:v>Unused</c:v>
                </c:pt>
              </c:strCache>
            </c:strRef>
          </c:cat>
          <c:val>
            <c:numRef>
              <c:f>Charting!$F$137:$F$143</c:f>
              <c:numCache>
                <c:formatCode>General</c:formatCode>
                <c:ptCount val="7"/>
                <c:pt idx="0">
                  <c:v>0</c:v>
                </c:pt>
                <c:pt idx="1">
                  <c:v>0</c:v>
                </c:pt>
                <c:pt idx="2">
                  <c:v>0</c:v>
                </c:pt>
                <c:pt idx="3">
                  <c:v>0</c:v>
                </c:pt>
                <c:pt idx="4">
                  <c:v>0</c:v>
                </c:pt>
                <c:pt idx="5">
                  <c:v>0</c:v>
                </c:pt>
                <c:pt idx="6">
                  <c:v>1294.7</c:v>
                </c:pt>
              </c:numCache>
            </c:numRef>
          </c:val>
          <c:extLst>
            <c:ext xmlns:c16="http://schemas.microsoft.com/office/drawing/2014/chart" uri="{C3380CC4-5D6E-409C-BE32-E72D297353CC}">
              <c16:uniqueId val="{00000000-52DE-4D9C-862E-D6FD8ACE4824}"/>
            </c:ext>
          </c:extLst>
        </c:ser>
        <c:dLbls>
          <c:dLblPos val="inEnd"/>
          <c:showLegendKey val="0"/>
          <c:showVal val="0"/>
          <c:showCatName val="1"/>
          <c:showSerName val="0"/>
          <c:showPercent val="0"/>
          <c:showBubbleSize val="0"/>
          <c:showLeaderLines val="1"/>
        </c:dLbls>
      </c:pie3DChart>
      <c:spPr>
        <a:noFill/>
        <a:ln>
          <a:noFill/>
        </a:ln>
        <a:effectLst/>
      </c:spPr>
    </c:plotArea>
    <c:legend>
      <c:legendPos val="b"/>
      <c:layout>
        <c:manualLayout>
          <c:xMode val="edge"/>
          <c:yMode val="edge"/>
          <c:x val="0.80564814072688695"/>
          <c:y val="6.076334208223972E-2"/>
          <c:w val="0.18324062287531126"/>
          <c:h val="0.8790514727325752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baseline="0">
                <a:solidFill>
                  <a:schemeClr val="accent1">
                    <a:lumMod val="75000"/>
                  </a:schemeClr>
                </a:solidFill>
              </a:rPr>
              <a:t>Memory Consumption</a:t>
            </a:r>
          </a:p>
        </c:rich>
      </c:tx>
      <c:layout>
        <c:manualLayout>
          <c:xMode val="edge"/>
          <c:yMode val="edge"/>
          <c:x val="1.7458223972003497E-2"/>
          <c:y val="2.777777777777777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19651376146788987"/>
          <c:w val="0.9532846786926944"/>
          <c:h val="0.67723759300729613"/>
        </c:manualLayout>
      </c:layout>
      <c:pie3D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4-9DCD-4657-BA5B-E2957339D3B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9DCD-4657-BA5B-E2957339D3B8}"/>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9DCD-4657-BA5B-E2957339D3B8}"/>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6-9DCD-4657-BA5B-E2957339D3B8}"/>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9DCD-4657-BA5B-E2957339D3B8}"/>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2-9DCD-4657-BA5B-E2957339D3B8}"/>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9DCD-4657-BA5B-E2957339D3B8}"/>
              </c:ext>
            </c:extLst>
          </c:dPt>
          <c:dLbls>
            <c:delete val="1"/>
          </c:dLbls>
          <c:cat>
            <c:strRef>
              <c:f>Charting!$C$137:$C$143</c:f>
              <c:strCache>
                <c:ptCount val="7"/>
                <c:pt idx="0">
                  <c:v>Workload 1</c:v>
                </c:pt>
                <c:pt idx="1">
                  <c:v>Workload 2</c:v>
                </c:pt>
                <c:pt idx="2">
                  <c:v>Workload 3</c:v>
                </c:pt>
                <c:pt idx="3">
                  <c:v>Workload 4</c:v>
                </c:pt>
                <c:pt idx="4">
                  <c:v>Workload 5</c:v>
                </c:pt>
                <c:pt idx="5">
                  <c:v>Workload 6</c:v>
                </c:pt>
                <c:pt idx="6">
                  <c:v>Unused</c:v>
                </c:pt>
              </c:strCache>
            </c:strRef>
          </c:cat>
          <c:val>
            <c:numRef>
              <c:f>Charting!$E$137:$E$143</c:f>
              <c:numCache>
                <c:formatCode>General</c:formatCode>
                <c:ptCount val="7"/>
                <c:pt idx="0">
                  <c:v>0</c:v>
                </c:pt>
                <c:pt idx="1">
                  <c:v>0</c:v>
                </c:pt>
                <c:pt idx="2">
                  <c:v>0</c:v>
                </c:pt>
                <c:pt idx="3">
                  <c:v>0</c:v>
                </c:pt>
                <c:pt idx="4">
                  <c:v>0</c:v>
                </c:pt>
                <c:pt idx="5">
                  <c:v>0</c:v>
                </c:pt>
                <c:pt idx="6">
                  <c:v>19064</c:v>
                </c:pt>
              </c:numCache>
            </c:numRef>
          </c:val>
          <c:extLst>
            <c:ext xmlns:c16="http://schemas.microsoft.com/office/drawing/2014/chart" uri="{C3380CC4-5D6E-409C-BE32-E72D297353CC}">
              <c16:uniqueId val="{00000000-9DCD-4657-BA5B-E2957339D3B8}"/>
            </c:ext>
          </c:extLst>
        </c:ser>
        <c:dLbls>
          <c:dLblPos val="inEnd"/>
          <c:showLegendKey val="0"/>
          <c:showVal val="0"/>
          <c:showCatName val="0"/>
          <c:showSerName val="0"/>
          <c:showPercent val="1"/>
          <c:showBubbleSize val="0"/>
          <c:showLeaderLines val="1"/>
        </c:dLbls>
      </c:pie3DChart>
      <c:spPr>
        <a:noFill/>
        <a:ln>
          <a:noFill/>
        </a:ln>
        <a:effectLst/>
      </c:spPr>
    </c:plotArea>
    <c:legend>
      <c:legendPos val="b"/>
      <c:layout>
        <c:manualLayout>
          <c:xMode val="edge"/>
          <c:yMode val="edge"/>
          <c:x val="0.84166666666666656"/>
          <c:y val="4.6874453193350825E-2"/>
          <c:w val="0.14166666666666666"/>
          <c:h val="0.9253477690288713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baseline="0">
                <a:solidFill>
                  <a:schemeClr val="accent1">
                    <a:lumMod val="75000"/>
                  </a:schemeClr>
                </a:solidFill>
              </a:rPr>
              <a:t>Temp Disk Consumption</a:t>
            </a:r>
          </a:p>
        </c:rich>
      </c:tx>
      <c:layout>
        <c:manualLayout>
          <c:xMode val="edge"/>
          <c:yMode val="edge"/>
          <c:x val="1.900000000000001E-2"/>
          <c:y val="4.1666666666666664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0555555555555555E-2"/>
          <c:y val="0.22467592592592592"/>
          <c:w val="0.82222222222222208"/>
          <c:h val="0.58145778652668412"/>
        </c:manualLayout>
      </c:layout>
      <c:pie3D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92E6-4C48-99D4-A1F49B76936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92E6-4C48-99D4-A1F49B769367}"/>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92E6-4C48-99D4-A1F49B769367}"/>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92E6-4C48-99D4-A1F49B769367}"/>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92E6-4C48-99D4-A1F49B769367}"/>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92E6-4C48-99D4-A1F49B769367}"/>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92E6-4C48-99D4-A1F49B769367}"/>
              </c:ext>
            </c:extLst>
          </c:dPt>
          <c:cat>
            <c:strRef>
              <c:f>Charting!$C$137:$C$143</c:f>
              <c:strCache>
                <c:ptCount val="7"/>
                <c:pt idx="0">
                  <c:v>Workload 1</c:v>
                </c:pt>
                <c:pt idx="1">
                  <c:v>Workload 2</c:v>
                </c:pt>
                <c:pt idx="2">
                  <c:v>Workload 3</c:v>
                </c:pt>
                <c:pt idx="3">
                  <c:v>Workload 4</c:v>
                </c:pt>
                <c:pt idx="4">
                  <c:v>Workload 5</c:v>
                </c:pt>
                <c:pt idx="5">
                  <c:v>Workload 6</c:v>
                </c:pt>
                <c:pt idx="6">
                  <c:v>Unused</c:v>
                </c:pt>
              </c:strCache>
            </c:strRef>
          </c:cat>
          <c:val>
            <c:numRef>
              <c:f>Charting!$D$137:$D$143</c:f>
              <c:numCache>
                <c:formatCode>General</c:formatCode>
                <c:ptCount val="7"/>
                <c:pt idx="0">
                  <c:v>0</c:v>
                </c:pt>
                <c:pt idx="1">
                  <c:v>0</c:v>
                </c:pt>
                <c:pt idx="2">
                  <c:v>0</c:v>
                </c:pt>
                <c:pt idx="3">
                  <c:v>0</c:v>
                </c:pt>
                <c:pt idx="4">
                  <c:v>0</c:v>
                </c:pt>
                <c:pt idx="5">
                  <c:v>0</c:v>
                </c:pt>
                <c:pt idx="6" formatCode="0">
                  <c:v>87738.037109375</c:v>
                </c:pt>
              </c:numCache>
            </c:numRef>
          </c:val>
          <c:extLst>
            <c:ext xmlns:c16="http://schemas.microsoft.com/office/drawing/2014/chart" uri="{C3380CC4-5D6E-409C-BE32-E72D297353CC}">
              <c16:uniqueId val="{00000000-ECE6-4366-B731-F26FF546952E}"/>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0.75"/>
          <c:y val="6.076334208223972E-2"/>
          <c:w val="0.21666666666666665"/>
          <c:h val="0.9114588801399825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baseline="0">
                <a:solidFill>
                  <a:schemeClr val="accent1">
                    <a:lumMod val="75000"/>
                  </a:schemeClr>
                </a:solidFill>
              </a:rPr>
              <a:t>Disk Consumption</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9531188888460003E-2"/>
          <c:y val="0.23529737206085755"/>
          <c:w val="0.88482836333500614"/>
          <c:h val="0.56069090948693656"/>
        </c:manualLayout>
      </c:layout>
      <c:pie3D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8DBF-40DF-8F41-6E860EE8607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8DBF-40DF-8F41-6E860EE8607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8DBF-40DF-8F41-6E860EE8607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8DBF-40DF-8F41-6E860EE8607E}"/>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8DBF-40DF-8F41-6E860EE8607E}"/>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8DBF-40DF-8F41-6E860EE8607E}"/>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8DBF-40DF-8F41-6E860EE8607E}"/>
              </c:ext>
            </c:extLst>
          </c:dPt>
          <c:cat>
            <c:strRef>
              <c:f>Charting!$C$137:$C$143</c:f>
              <c:strCache>
                <c:ptCount val="7"/>
                <c:pt idx="0">
                  <c:v>Workload 1</c:v>
                </c:pt>
                <c:pt idx="1">
                  <c:v>Workload 2</c:v>
                </c:pt>
                <c:pt idx="2">
                  <c:v>Workload 3</c:v>
                </c:pt>
                <c:pt idx="3">
                  <c:v>Workload 4</c:v>
                </c:pt>
                <c:pt idx="4">
                  <c:v>Workload 5</c:v>
                </c:pt>
                <c:pt idx="5">
                  <c:v>Workload 6</c:v>
                </c:pt>
                <c:pt idx="6">
                  <c:v>Unused</c:v>
                </c:pt>
              </c:strCache>
            </c:strRef>
          </c:cat>
          <c:val>
            <c:numRef>
              <c:f>Charting!$G$137:$G$143</c:f>
              <c:numCache>
                <c:formatCode>General</c:formatCode>
                <c:ptCount val="7"/>
                <c:pt idx="0">
                  <c:v>0</c:v>
                </c:pt>
                <c:pt idx="1">
                  <c:v>0</c:v>
                </c:pt>
                <c:pt idx="2">
                  <c:v>0</c:v>
                </c:pt>
                <c:pt idx="3">
                  <c:v>0</c:v>
                </c:pt>
                <c:pt idx="4">
                  <c:v>0</c:v>
                </c:pt>
                <c:pt idx="5">
                  <c:v>0</c:v>
                </c:pt>
                <c:pt idx="6" formatCode="0">
                  <c:v>786142.33398437488</c:v>
                </c:pt>
              </c:numCache>
            </c:numRef>
          </c:val>
          <c:extLst>
            <c:ext xmlns:c16="http://schemas.microsoft.com/office/drawing/2014/chart" uri="{C3380CC4-5D6E-409C-BE32-E72D297353CC}">
              <c16:uniqueId val="{00000000-868E-443A-ABB6-28928BBBBCD2}"/>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0.73512360546517663"/>
          <c:y val="7.1230328574073423E-2"/>
          <c:w val="0.21487637128191867"/>
          <c:h val="0.8955746506790386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2700"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GPU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Charting!$X$186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Charting!$W$187:$W$192</c:f>
              <c:strCache>
                <c:ptCount val="6"/>
                <c:pt idx="0">
                  <c:v>SKU 1</c:v>
                </c:pt>
                <c:pt idx="1">
                  <c:v>SKU 2</c:v>
                </c:pt>
                <c:pt idx="2">
                  <c:v>SKU 3</c:v>
                </c:pt>
                <c:pt idx="3">
                  <c:v>SKU 4</c:v>
                </c:pt>
                <c:pt idx="4">
                  <c:v>SKU 5</c:v>
                </c:pt>
                <c:pt idx="5">
                  <c:v>SKU 6</c:v>
                </c:pt>
              </c:strCache>
            </c:strRef>
          </c:cat>
          <c:val>
            <c:numRef>
              <c:f>Charting!$X$187:$X$192</c:f>
              <c:numCache>
                <c:formatCode>General</c:formatCode>
                <c:ptCount val="6"/>
                <c:pt idx="0">
                  <c:v>0</c:v>
                </c:pt>
                <c:pt idx="1">
                  <c:v>0</c:v>
                </c:pt>
                <c:pt idx="2">
                  <c:v>0</c:v>
                </c:pt>
                <c:pt idx="3">
                  <c:v>0</c:v>
                </c:pt>
                <c:pt idx="4">
                  <c:v>0</c:v>
                </c:pt>
                <c:pt idx="5">
                  <c:v>32</c:v>
                </c:pt>
              </c:numCache>
            </c:numRef>
          </c:val>
          <c:extLst>
            <c:ext xmlns:c16="http://schemas.microsoft.com/office/drawing/2014/chart" uri="{C3380CC4-5D6E-409C-BE32-E72D297353CC}">
              <c16:uniqueId val="{00000000-9987-4204-9E9C-01A2321E552F}"/>
            </c:ext>
          </c:extLst>
        </c:ser>
        <c:ser>
          <c:idx val="1"/>
          <c:order val="1"/>
          <c:tx>
            <c:strRef>
              <c:f>Charting!$Y$186</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Charting!$W$187:$W$192</c:f>
              <c:strCache>
                <c:ptCount val="6"/>
                <c:pt idx="0">
                  <c:v>SKU 1</c:v>
                </c:pt>
                <c:pt idx="1">
                  <c:v>SKU 2</c:v>
                </c:pt>
                <c:pt idx="2">
                  <c:v>SKU 3</c:v>
                </c:pt>
                <c:pt idx="3">
                  <c:v>SKU 4</c:v>
                </c:pt>
                <c:pt idx="4">
                  <c:v>SKU 5</c:v>
                </c:pt>
                <c:pt idx="5">
                  <c:v>SKU 6</c:v>
                </c:pt>
              </c:strCache>
            </c:strRef>
          </c:cat>
          <c:val>
            <c:numRef>
              <c:f>Charting!$Y$187:$Y$192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9987-4204-9E9C-01A2321E552F}"/>
            </c:ext>
          </c:extLst>
        </c:ser>
        <c:dLbls>
          <c:dLblPos val="inBase"/>
          <c:showLegendKey val="0"/>
          <c:showVal val="1"/>
          <c:showCatName val="0"/>
          <c:showSerName val="0"/>
          <c:showPercent val="0"/>
          <c:showBubbleSize val="0"/>
        </c:dLbls>
        <c:gapWidth val="219"/>
        <c:overlap val="100"/>
        <c:axId val="420407120"/>
        <c:axId val="420408688"/>
      </c:barChart>
      <c:lineChart>
        <c:grouping val="standard"/>
        <c:varyColors val="0"/>
        <c:ser>
          <c:idx val="2"/>
          <c:order val="2"/>
          <c:tx>
            <c:strRef>
              <c:f>Charting!$Z$186</c:f>
              <c:strCache>
                <c:ptCount val="1"/>
                <c:pt idx="0">
                  <c:v>% 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Charting!$W$187:$W$192</c:f>
              <c:strCache>
                <c:ptCount val="6"/>
                <c:pt idx="0">
                  <c:v>SKU 1</c:v>
                </c:pt>
                <c:pt idx="1">
                  <c:v>SKU 2</c:v>
                </c:pt>
                <c:pt idx="2">
                  <c:v>SKU 3</c:v>
                </c:pt>
                <c:pt idx="3">
                  <c:v>SKU 4</c:v>
                </c:pt>
                <c:pt idx="4">
                  <c:v>SKU 5</c:v>
                </c:pt>
                <c:pt idx="5">
                  <c:v>SKU 6</c:v>
                </c:pt>
              </c:strCache>
            </c:strRef>
          </c:cat>
          <c:val>
            <c:numRef>
              <c:f>Charting!$Z$187:$Z$192</c:f>
              <c:numCache>
                <c:formatCode>0%</c:formatCode>
                <c:ptCount val="6"/>
                <c:pt idx="0">
                  <c:v>0</c:v>
                </c:pt>
                <c:pt idx="1">
                  <c:v>0</c:v>
                </c:pt>
                <c:pt idx="2">
                  <c:v>0</c:v>
                </c:pt>
                <c:pt idx="3">
                  <c:v>0</c:v>
                </c:pt>
                <c:pt idx="4">
                  <c:v>0</c:v>
                </c:pt>
                <c:pt idx="5">
                  <c:v>1</c:v>
                </c:pt>
              </c:numCache>
            </c:numRef>
          </c:val>
          <c:smooth val="0"/>
          <c:extLst>
            <c:ext xmlns:c16="http://schemas.microsoft.com/office/drawing/2014/chart" uri="{C3380CC4-5D6E-409C-BE32-E72D297353CC}">
              <c16:uniqueId val="{00000002-9987-4204-9E9C-01A2321E552F}"/>
            </c:ext>
          </c:extLst>
        </c:ser>
        <c:dLbls>
          <c:showLegendKey val="0"/>
          <c:showVal val="1"/>
          <c:showCatName val="0"/>
          <c:showSerName val="0"/>
          <c:showPercent val="0"/>
          <c:showBubbleSize val="0"/>
        </c:dLbls>
        <c:marker val="1"/>
        <c:smooth val="0"/>
        <c:axId val="420407120"/>
        <c:axId val="420408688"/>
      </c:lineChart>
      <c:catAx>
        <c:axId val="42040712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08688"/>
        <c:crosses val="autoZero"/>
        <c:auto val="1"/>
        <c:lblAlgn val="ctr"/>
        <c:lblOffset val="100"/>
        <c:noMultiLvlLbl val="0"/>
      </c:catAx>
      <c:valAx>
        <c:axId val="42040868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07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 Number of GPU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Charting!$X$186</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Charting!$W$187:$W$192</c:f>
              <c:strCache>
                <c:ptCount val="6"/>
                <c:pt idx="0">
                  <c:v>SKU 1</c:v>
                </c:pt>
                <c:pt idx="1">
                  <c:v>SKU 2</c:v>
                </c:pt>
                <c:pt idx="2">
                  <c:v>SKU 3</c:v>
                </c:pt>
                <c:pt idx="3">
                  <c:v>SKU 4</c:v>
                </c:pt>
                <c:pt idx="4">
                  <c:v>SKU 5</c:v>
                </c:pt>
                <c:pt idx="5">
                  <c:v>SKU 6</c:v>
                </c:pt>
              </c:strCache>
            </c:strRef>
          </c:cat>
          <c:val>
            <c:numRef>
              <c:f>Charting!$X$187:$X$192</c:f>
              <c:numCache>
                <c:formatCode>General</c:formatCode>
                <c:ptCount val="6"/>
                <c:pt idx="0">
                  <c:v>0</c:v>
                </c:pt>
                <c:pt idx="1">
                  <c:v>0</c:v>
                </c:pt>
                <c:pt idx="2">
                  <c:v>0</c:v>
                </c:pt>
                <c:pt idx="3">
                  <c:v>0</c:v>
                </c:pt>
                <c:pt idx="4">
                  <c:v>0</c:v>
                </c:pt>
                <c:pt idx="5">
                  <c:v>32</c:v>
                </c:pt>
              </c:numCache>
            </c:numRef>
          </c:val>
          <c:extLst>
            <c:ext xmlns:c16="http://schemas.microsoft.com/office/drawing/2014/chart" uri="{C3380CC4-5D6E-409C-BE32-E72D297353CC}">
              <c16:uniqueId val="{00000000-F1B3-4985-B45B-F97D2E0755EC}"/>
            </c:ext>
          </c:extLst>
        </c:ser>
        <c:dLbls>
          <c:dLblPos val="inEnd"/>
          <c:showLegendKey val="0"/>
          <c:showVal val="1"/>
          <c:showCatName val="0"/>
          <c:showSerName val="0"/>
          <c:showPercent val="0"/>
          <c:showBubbleSize val="0"/>
        </c:dLbls>
        <c:gapWidth val="100"/>
        <c:overlap val="-24"/>
        <c:axId val="420410256"/>
        <c:axId val="420411432"/>
      </c:barChart>
      <c:catAx>
        <c:axId val="42041025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1432"/>
        <c:crosses val="autoZero"/>
        <c:auto val="1"/>
        <c:lblAlgn val="ctr"/>
        <c:lblOffset val="100"/>
        <c:noMultiLvlLbl val="0"/>
      </c:catAx>
      <c:valAx>
        <c:axId val="42041143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4102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Available</a:t>
            </a:r>
            <a:r>
              <a:rPr lang="en-US" sz="1200" baseline="0"/>
              <a:t> Number of GPU </a:t>
            </a:r>
            <a:endParaRPr lang="en-US" sz="1200"/>
          </a:p>
        </c:rich>
      </c:tx>
      <c:overlay val="0"/>
      <c:spPr>
        <a:noFill/>
        <a:ln>
          <a:noFill/>
        </a:ln>
        <a:effectLst/>
      </c:spPr>
      <c:txPr>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Charting!$X$113</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Charting!$W$114:$W$119</c:f>
              <c:strCache>
                <c:ptCount val="6"/>
                <c:pt idx="0">
                  <c:v>SKU 1</c:v>
                </c:pt>
                <c:pt idx="1">
                  <c:v>SKU 2</c:v>
                </c:pt>
                <c:pt idx="2">
                  <c:v>SKU 3</c:v>
                </c:pt>
                <c:pt idx="3">
                  <c:v>SKU 4</c:v>
                </c:pt>
                <c:pt idx="4">
                  <c:v>SKU 5</c:v>
                </c:pt>
                <c:pt idx="5">
                  <c:v>SKU 6</c:v>
                </c:pt>
              </c:strCache>
            </c:strRef>
          </c:cat>
          <c:val>
            <c:numRef>
              <c:f>Charting!$X$114:$X$119</c:f>
              <c:numCache>
                <c:formatCode>General</c:formatCode>
                <c:ptCount val="6"/>
                <c:pt idx="0">
                  <c:v>0</c:v>
                </c:pt>
                <c:pt idx="1">
                  <c:v>0</c:v>
                </c:pt>
                <c:pt idx="2">
                  <c:v>0</c:v>
                </c:pt>
                <c:pt idx="3">
                  <c:v>0</c:v>
                </c:pt>
                <c:pt idx="4">
                  <c:v>0</c:v>
                </c:pt>
                <c:pt idx="5">
                  <c:v>32</c:v>
                </c:pt>
              </c:numCache>
            </c:numRef>
          </c:val>
          <c:extLst>
            <c:ext xmlns:c16="http://schemas.microsoft.com/office/drawing/2014/chart" uri="{C3380CC4-5D6E-409C-BE32-E72D297353CC}">
              <c16:uniqueId val="{00000000-09AF-4FE3-9E0B-C9FA0713463D}"/>
            </c:ext>
          </c:extLst>
        </c:ser>
        <c:dLbls>
          <c:dLblPos val="inEnd"/>
          <c:showLegendKey val="0"/>
          <c:showVal val="1"/>
          <c:showCatName val="0"/>
          <c:showSerName val="0"/>
          <c:showPercent val="0"/>
          <c:showBubbleSize val="0"/>
        </c:dLbls>
        <c:gapWidth val="100"/>
        <c:overlap val="-24"/>
        <c:axId val="420606064"/>
        <c:axId val="420606848"/>
      </c:barChart>
      <c:catAx>
        <c:axId val="42060606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6848"/>
        <c:crosses val="autoZero"/>
        <c:auto val="1"/>
        <c:lblAlgn val="ctr"/>
        <c:lblOffset val="100"/>
        <c:noMultiLvlLbl val="0"/>
      </c:catAx>
      <c:valAx>
        <c:axId val="42060684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60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200"/>
              <a:t>% Available GPU per SKU</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percentStacked"/>
        <c:varyColors val="0"/>
        <c:ser>
          <c:idx val="0"/>
          <c:order val="0"/>
          <c:tx>
            <c:strRef>
              <c:f>Charting!$X$113</c:f>
              <c:strCache>
                <c:ptCount val="1"/>
                <c:pt idx="0">
                  <c:v>Available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Charting!$W$114:$W$119</c:f>
              <c:strCache>
                <c:ptCount val="6"/>
                <c:pt idx="0">
                  <c:v>SKU 1</c:v>
                </c:pt>
                <c:pt idx="1">
                  <c:v>SKU 2</c:v>
                </c:pt>
                <c:pt idx="2">
                  <c:v>SKU 3</c:v>
                </c:pt>
                <c:pt idx="3">
                  <c:v>SKU 4</c:v>
                </c:pt>
                <c:pt idx="4">
                  <c:v>SKU 5</c:v>
                </c:pt>
                <c:pt idx="5">
                  <c:v>SKU 6</c:v>
                </c:pt>
              </c:strCache>
            </c:strRef>
          </c:cat>
          <c:val>
            <c:numRef>
              <c:f>Charting!$X$114:$X$119</c:f>
              <c:numCache>
                <c:formatCode>General</c:formatCode>
                <c:ptCount val="6"/>
                <c:pt idx="0">
                  <c:v>0</c:v>
                </c:pt>
                <c:pt idx="1">
                  <c:v>0</c:v>
                </c:pt>
                <c:pt idx="2">
                  <c:v>0</c:v>
                </c:pt>
                <c:pt idx="3">
                  <c:v>0</c:v>
                </c:pt>
                <c:pt idx="4">
                  <c:v>0</c:v>
                </c:pt>
                <c:pt idx="5">
                  <c:v>32</c:v>
                </c:pt>
              </c:numCache>
            </c:numRef>
          </c:val>
          <c:extLst>
            <c:ext xmlns:c16="http://schemas.microsoft.com/office/drawing/2014/chart" uri="{C3380CC4-5D6E-409C-BE32-E72D297353CC}">
              <c16:uniqueId val="{00000000-B0F0-4A78-97A4-B65FDE7D449F}"/>
            </c:ext>
          </c:extLst>
        </c:ser>
        <c:ser>
          <c:idx val="1"/>
          <c:order val="1"/>
          <c:tx>
            <c:strRef>
              <c:f>Charting!$Y$113</c:f>
              <c:strCache>
                <c:ptCount val="1"/>
                <c:pt idx="0">
                  <c:v>Consumed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Charting!$W$114:$W$119</c:f>
              <c:strCache>
                <c:ptCount val="6"/>
                <c:pt idx="0">
                  <c:v>SKU 1</c:v>
                </c:pt>
                <c:pt idx="1">
                  <c:v>SKU 2</c:v>
                </c:pt>
                <c:pt idx="2">
                  <c:v>SKU 3</c:v>
                </c:pt>
                <c:pt idx="3">
                  <c:v>SKU 4</c:v>
                </c:pt>
                <c:pt idx="4">
                  <c:v>SKU 5</c:v>
                </c:pt>
                <c:pt idx="5">
                  <c:v>SKU 6</c:v>
                </c:pt>
              </c:strCache>
            </c:strRef>
          </c:cat>
          <c:val>
            <c:numRef>
              <c:f>Charting!$Y$114:$Y$119</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B0F0-4A78-97A4-B65FDE7D449F}"/>
            </c:ext>
          </c:extLst>
        </c:ser>
        <c:dLbls>
          <c:showLegendKey val="0"/>
          <c:showVal val="0"/>
          <c:showCatName val="0"/>
          <c:showSerName val="0"/>
          <c:showPercent val="0"/>
          <c:showBubbleSize val="0"/>
        </c:dLbls>
        <c:gapWidth val="219"/>
        <c:overlap val="100"/>
        <c:axId val="420604888"/>
        <c:axId val="420606456"/>
      </c:barChart>
      <c:lineChart>
        <c:grouping val="standard"/>
        <c:varyColors val="0"/>
        <c:ser>
          <c:idx val="2"/>
          <c:order val="2"/>
          <c:tx>
            <c:strRef>
              <c:f>Charting!$Z$113</c:f>
              <c:strCache>
                <c:ptCount val="1"/>
                <c:pt idx="0">
                  <c:v>%Available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Charting!$W$114:$W$119</c:f>
              <c:strCache>
                <c:ptCount val="6"/>
                <c:pt idx="0">
                  <c:v>SKU 1</c:v>
                </c:pt>
                <c:pt idx="1">
                  <c:v>SKU 2</c:v>
                </c:pt>
                <c:pt idx="2">
                  <c:v>SKU 3</c:v>
                </c:pt>
                <c:pt idx="3">
                  <c:v>SKU 4</c:v>
                </c:pt>
                <c:pt idx="4">
                  <c:v>SKU 5</c:v>
                </c:pt>
                <c:pt idx="5">
                  <c:v>SKU 6</c:v>
                </c:pt>
              </c:strCache>
            </c:strRef>
          </c:cat>
          <c:val>
            <c:numRef>
              <c:f>Charting!$Z$114:$Z$119</c:f>
              <c:numCache>
                <c:formatCode>0%</c:formatCode>
                <c:ptCount val="6"/>
                <c:pt idx="0">
                  <c:v>0</c:v>
                </c:pt>
                <c:pt idx="1">
                  <c:v>0</c:v>
                </c:pt>
                <c:pt idx="2">
                  <c:v>0</c:v>
                </c:pt>
                <c:pt idx="3">
                  <c:v>0</c:v>
                </c:pt>
                <c:pt idx="4">
                  <c:v>0</c:v>
                </c:pt>
                <c:pt idx="5">
                  <c:v>1</c:v>
                </c:pt>
              </c:numCache>
            </c:numRef>
          </c:val>
          <c:smooth val="0"/>
          <c:extLst>
            <c:ext xmlns:c16="http://schemas.microsoft.com/office/drawing/2014/chart" uri="{C3380CC4-5D6E-409C-BE32-E72D297353CC}">
              <c16:uniqueId val="{00000002-B0F0-4A78-97A4-B65FDE7D449F}"/>
            </c:ext>
          </c:extLst>
        </c:ser>
        <c:dLbls>
          <c:showLegendKey val="0"/>
          <c:showVal val="0"/>
          <c:showCatName val="0"/>
          <c:showSerName val="0"/>
          <c:showPercent val="0"/>
          <c:showBubbleSize val="0"/>
        </c:dLbls>
        <c:marker val="1"/>
        <c:smooth val="0"/>
        <c:axId val="725496543"/>
        <c:axId val="725495711"/>
      </c:lineChart>
      <c:catAx>
        <c:axId val="4206048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6456"/>
        <c:crosses val="autoZero"/>
        <c:auto val="1"/>
        <c:lblAlgn val="ctr"/>
        <c:lblOffset val="100"/>
        <c:noMultiLvlLbl val="0"/>
      </c:catAx>
      <c:valAx>
        <c:axId val="42060645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604888"/>
        <c:crosses val="autoZero"/>
        <c:crossBetween val="between"/>
      </c:valAx>
      <c:valAx>
        <c:axId val="725495711"/>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25496543"/>
        <c:crosses val="max"/>
        <c:crossBetween val="between"/>
      </c:valAx>
      <c:catAx>
        <c:axId val="725496543"/>
        <c:scaling>
          <c:orientation val="minMax"/>
        </c:scaling>
        <c:delete val="1"/>
        <c:axPos val="b"/>
        <c:numFmt formatCode="General" sourceLinked="1"/>
        <c:majorTickMark val="out"/>
        <c:minorTickMark val="none"/>
        <c:tickLblPos val="nextTo"/>
        <c:crossAx val="72549571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size">
        <cx:f>_xlchart.v1.7</cx:f>
      </cx:numDim>
    </cx:data>
  </cx:chartData>
  <cx:chart>
    <cx:title pos="t" align="ctr" overlay="0">
      <cx:tx>
        <cx:txData>
          <cx:v>CPU Core Consumption</cx:v>
        </cx:txData>
      </cx:tx>
      <cx:txPr>
        <a:bodyPr spcFirstLastPara="1" vertOverflow="ellipsis" wrap="square" lIns="0" tIns="0" rIns="0" bIns="0" anchor="ctr" anchorCtr="1"/>
        <a:lstStyle/>
        <a:p>
          <a:pPr algn="ctr">
            <a:defRPr/>
          </a:pPr>
          <a:r>
            <a:rPr lang="en-US" sz="1600" b="1">
              <a:solidFill>
                <a:schemeClr val="accent1">
                  <a:lumMod val="75000"/>
                </a:schemeClr>
              </a:solidFill>
            </a:rPr>
            <a:t>CPU Core Consumption</a:t>
          </a:r>
        </a:p>
      </cx:txPr>
    </cx:title>
    <cx:plotArea>
      <cx:plotAreaRegion>
        <cx:plotSurface>
          <cx:spPr>
            <a:solidFill>
              <a:schemeClr val="accent1">
                <a:lumMod val="20000"/>
                <a:lumOff val="80000"/>
              </a:schemeClr>
            </a:solidFill>
          </cx:spPr>
        </cx:plotSurface>
        <cx:series layoutId="sunburst" uniqueId="{C19CF1E2-6E83-4506-9C0C-9B5D8210135E}">
          <cx:dataLabels pos="ctr">
            <cx:txPr>
              <a:bodyPr spcFirstLastPara="1" vertOverflow="ellipsis" wrap="square" lIns="0" tIns="0" rIns="0" bIns="0" anchor="ctr" anchorCtr="1"/>
              <a:lstStyle/>
              <a:p>
                <a:pPr>
                  <a:defRPr sz="1200" b="1"/>
                </a:pPr>
                <a:endParaRPr lang="en-US" sz="1200" b="1"/>
              </a:p>
            </cx:txPr>
            <cx:visibility seriesName="0" categoryName="1" value="0"/>
          </cx:dataLabels>
          <cx:dataId val="0"/>
        </cx:series>
      </cx:plotAreaRegion>
    </cx:plotArea>
  </cx:chart>
  <cx:spPr>
    <a:ln w="12700">
      <a:solidFill>
        <a:schemeClr val="accent1">
          <a:lumMod val="75000"/>
        </a:schemeClr>
      </a:solid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size">
        <cx:f>_xlchart.v1.5</cx:f>
      </cx:numDim>
    </cx:data>
  </cx:chartData>
  <cx:chart>
    <cx:title pos="t" align="ctr" overlay="0">
      <cx:tx>
        <cx:txData>
          <cx:v>Memory Consumption</cx:v>
        </cx:txData>
      </cx:tx>
      <cx:txPr>
        <a:bodyPr spcFirstLastPara="1" vertOverflow="ellipsis" wrap="square" lIns="0" tIns="0" rIns="0" bIns="0" anchor="ctr" anchorCtr="1"/>
        <a:lstStyle/>
        <a:p>
          <a:pPr algn="ctr">
            <a:defRPr/>
          </a:pPr>
          <a:r>
            <a:rPr lang="en-US" sz="1600" b="1" baseline="0">
              <a:solidFill>
                <a:schemeClr val="accent1">
                  <a:lumMod val="75000"/>
                </a:schemeClr>
              </a:solidFill>
            </a:rPr>
            <a:t>Memory Consumption</a:t>
          </a:r>
        </a:p>
      </cx:txPr>
    </cx:title>
    <cx:plotArea>
      <cx:plotAreaRegion>
        <cx:plotSurface>
          <cx:spPr>
            <a:solidFill>
              <a:schemeClr val="accent1">
                <a:lumMod val="20000"/>
                <a:lumOff val="80000"/>
              </a:schemeClr>
            </a:solidFill>
          </cx:spPr>
        </cx:plotSurface>
        <cx:series layoutId="sunburst" uniqueId="{9809092C-5416-4328-85C0-B119DA25E8C0}">
          <cx:dataLabels pos="ctr">
            <cx:txPr>
              <a:bodyPr spcFirstLastPara="1" vertOverflow="ellipsis" wrap="square" lIns="0" tIns="0" rIns="0" bIns="0" anchor="ctr" anchorCtr="1"/>
              <a:lstStyle/>
              <a:p>
                <a:pPr>
                  <a:defRPr sz="1200" b="1"/>
                </a:pPr>
                <a:endParaRPr lang="en-US" sz="1200" b="1"/>
              </a:p>
            </cx:txPr>
            <cx:visibility seriesName="0" categoryName="1" value="0"/>
          </cx:dataLabels>
          <cx:dataId val="0"/>
        </cx:series>
      </cx:plotAreaRegion>
    </cx:plotArea>
  </cx:chart>
  <cx:spPr>
    <a:ln w="12700">
      <a:solidFill>
        <a:schemeClr val="accent1">
          <a:lumMod val="75000"/>
        </a:schemeClr>
      </a:solid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title pos="t" align="ctr" overlay="0">
      <cx:tx>
        <cx:txData>
          <cx:v>Storage Consumption</cx:v>
        </cx:txData>
      </cx:tx>
      <cx:txPr>
        <a:bodyPr spcFirstLastPara="1" vertOverflow="ellipsis" wrap="square" lIns="0" tIns="0" rIns="0" bIns="0" anchor="ctr" anchorCtr="1"/>
        <a:lstStyle/>
        <a:p>
          <a:pPr algn="ctr">
            <a:defRPr/>
          </a:pPr>
          <a:r>
            <a:rPr lang="en-US" sz="1600" b="1" baseline="0">
              <a:solidFill>
                <a:schemeClr val="accent1">
                  <a:lumMod val="75000"/>
                </a:schemeClr>
              </a:solidFill>
            </a:rPr>
            <a:t>Storage Consumption</a:t>
          </a:r>
        </a:p>
      </cx:txPr>
    </cx:title>
    <cx:plotArea>
      <cx:plotAreaRegion>
        <cx:plotSurface>
          <cx:spPr>
            <a:solidFill>
              <a:schemeClr val="accent1">
                <a:lumMod val="20000"/>
                <a:lumOff val="80000"/>
              </a:schemeClr>
            </a:solidFill>
          </cx:spPr>
        </cx:plotSurface>
        <cx:series layoutId="sunburst" uniqueId="{9D3FFFFF-26A6-4DF8-B0E2-4A5F9598D8B6}">
          <cx:dataLabels pos="ctr">
            <cx:txPr>
              <a:bodyPr spcFirstLastPara="1" vertOverflow="ellipsis" wrap="square" lIns="0" tIns="0" rIns="0" bIns="0" anchor="ctr" anchorCtr="1"/>
              <a:lstStyle/>
              <a:p>
                <a:pPr>
                  <a:defRPr sz="1200" b="1"/>
                </a:pPr>
                <a:endParaRPr lang="en-US" sz="1200" b="1"/>
              </a:p>
            </cx:txPr>
            <cx:visibility seriesName="0" categoryName="1" value="0"/>
          </cx:dataLabels>
          <cx:dataId val="0"/>
        </cx:series>
      </cx:plotAreaRegion>
    </cx:plotArea>
  </cx:chart>
  <cx:spPr>
    <a:ln w="12700">
      <a:solidFill>
        <a:schemeClr val="accent1">
          <a:lumMod val="75000"/>
        </a:schemeClr>
      </a:solid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_xlchart.v1.3</cx:f>
      </cx:numDim>
    </cx:data>
  </cx:chartData>
  <cx:chart>
    <cx:title pos="t" align="ctr" overlay="0">
      <cx:tx>
        <cx:txData>
          <cx:v>Temp Disk Consumption</cx:v>
        </cx:txData>
      </cx:tx>
      <cx:txPr>
        <a:bodyPr spcFirstLastPara="1" vertOverflow="ellipsis" wrap="square" lIns="0" tIns="0" rIns="0" bIns="0" anchor="ctr" anchorCtr="1"/>
        <a:lstStyle/>
        <a:p>
          <a:pPr algn="ctr">
            <a:defRPr sz="1600" b="1" i="0" baseline="0">
              <a:solidFill>
                <a:schemeClr val="accent1">
                  <a:lumMod val="75000"/>
                </a:schemeClr>
              </a:solidFill>
            </a:defRPr>
          </a:pPr>
          <a:r>
            <a:rPr lang="en-US" sz="1600" b="1" i="0" baseline="0">
              <a:solidFill>
                <a:schemeClr val="accent1">
                  <a:lumMod val="75000"/>
                </a:schemeClr>
              </a:solidFill>
            </a:rPr>
            <a:t>Temp Disk Consumption</a:t>
          </a:r>
        </a:p>
      </cx:txPr>
    </cx:title>
    <cx:plotArea>
      <cx:plotAreaRegion>
        <cx:plotSurface>
          <cx:spPr>
            <a:solidFill>
              <a:schemeClr val="accent1">
                <a:lumMod val="20000"/>
                <a:lumOff val="80000"/>
              </a:schemeClr>
            </a:solidFill>
          </cx:spPr>
        </cx:plotSurface>
        <cx:series layoutId="sunburst" uniqueId="{506E5756-3361-4312-87CD-FD2C5BA9785B}">
          <cx:dataLabels pos="ctr">
            <cx:txPr>
              <a:bodyPr spcFirstLastPara="1" vertOverflow="ellipsis" wrap="square" lIns="0" tIns="0" rIns="0" bIns="0" anchor="ctr" anchorCtr="1"/>
              <a:lstStyle/>
              <a:p>
                <a:pPr>
                  <a:defRPr sz="1200" b="1"/>
                </a:pPr>
                <a:endParaRPr lang="en-US" sz="1200" b="1"/>
              </a:p>
            </cx:txPr>
            <cx:visibility seriesName="0" categoryName="1" value="0"/>
          </cx:dataLabels>
          <cx:dataId val="0"/>
        </cx:series>
      </cx:plotAreaRegion>
    </cx:plotArea>
  </cx:chart>
  <cx:spPr>
    <a:ln w="12700">
      <a:solidFill>
        <a:schemeClr val="accent1">
          <a:lumMod val="75000"/>
        </a:schemeClr>
      </a:solidFill>
    </a:ln>
  </cx:spPr>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_xlchart.v1.8</cx:f>
      </cx:strDim>
      <cx:numDim type="size">
        <cx:f>_xlchart.v1.10</cx:f>
      </cx:numDim>
    </cx:data>
  </cx:chartData>
  <cx:chart>
    <cx:title pos="t" align="ctr" overlay="0">
      <cx:tx>
        <cx:txData>
          <cx:v>Core Consumption</cx:v>
        </cx:txData>
      </cx:tx>
      <cx:txPr>
        <a:bodyPr spcFirstLastPara="1" vertOverflow="ellipsis" wrap="square" lIns="0" tIns="0" rIns="0" bIns="0" anchor="ctr" anchorCtr="1"/>
        <a:lstStyle/>
        <a:p>
          <a:pPr algn="ctr">
            <a:defRPr/>
          </a:pPr>
          <a:r>
            <a:rPr lang="en-US" b="1">
              <a:solidFill>
                <a:schemeClr val="accent1">
                  <a:lumMod val="75000"/>
                </a:schemeClr>
              </a:solidFill>
            </a:rPr>
            <a:t>Core Consumption</a:t>
          </a:r>
        </a:p>
      </cx:txPr>
    </cx:title>
    <cx:plotArea>
      <cx:plotAreaRegion>
        <cx:plotSurface>
          <cx:spPr>
            <a:solidFill>
              <a:schemeClr val="accent1">
                <a:lumMod val="20000"/>
                <a:lumOff val="80000"/>
              </a:schemeClr>
            </a:solidFill>
          </cx:spPr>
        </cx:plotSurface>
        <cx:series layoutId="sunburst" uniqueId="{5A7E8F8C-5C75-424C-BE7D-2FCD58DDE1DB}">
          <cx:tx>
            <cx:txData>
              <cx:f>_xlchart.v1.9</cx:f>
              <cx:v>CPU Cores</cx:v>
            </cx:txData>
          </cx:tx>
          <cx:dataLabels pos="ctr">
            <cx:visibility seriesName="0" categoryName="1" value="0"/>
          </cx:dataLabels>
          <cx:dataId val="0"/>
        </cx:series>
      </cx:plotAreaRegion>
    </cx:plotArea>
  </cx:chart>
  <cx:spPr>
    <a:ln w="12700">
      <a:solidFill>
        <a:schemeClr val="accent1">
          <a:lumMod val="75000"/>
        </a:schemeClr>
      </a:solidFill>
    </a:ln>
  </cx:spPr>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strDim type="cat">
        <cx:f>_xlchart.v1.17</cx:f>
      </cx:strDim>
      <cx:numDim type="size">
        <cx:f>_xlchart.v1.19</cx:f>
      </cx:numDim>
    </cx:data>
  </cx:chartData>
  <cx:chart>
    <cx:title pos="t" align="ctr" overlay="0">
      <cx:tx>
        <cx:txData>
          <cx:v>Disk Consumption</cx:v>
        </cx:txData>
      </cx:tx>
      <cx:txPr>
        <a:bodyPr spcFirstLastPara="1" vertOverflow="ellipsis" wrap="square" lIns="0" tIns="0" rIns="0" bIns="0" anchor="ctr" anchorCtr="1"/>
        <a:lstStyle/>
        <a:p>
          <a:pPr algn="ctr">
            <a:defRPr/>
          </a:pPr>
          <a:r>
            <a:rPr lang="en-US" b="1">
              <a:solidFill>
                <a:schemeClr val="accent1">
                  <a:lumMod val="75000"/>
                </a:schemeClr>
              </a:solidFill>
            </a:rPr>
            <a:t>Disk Consumption</a:t>
          </a:r>
        </a:p>
      </cx:txPr>
    </cx:title>
    <cx:plotArea>
      <cx:plotAreaRegion>
        <cx:plotSurface>
          <cx:spPr>
            <a:solidFill>
              <a:schemeClr val="accent1">
                <a:lumMod val="20000"/>
                <a:lumOff val="80000"/>
              </a:schemeClr>
            </a:solidFill>
          </cx:spPr>
        </cx:plotSurface>
        <cx:series layoutId="sunburst" uniqueId="{265F94DF-2DA6-41B3-A66C-482C0FD7A664}">
          <cx:tx>
            <cx:txData>
              <cx:f>_xlchart.v1.18</cx:f>
              <cx:v>Disk</cx:v>
            </cx:txData>
          </cx:tx>
          <cx:dataLabels pos="ctr">
            <cx:visibility seriesName="0" categoryName="1" value="0"/>
          </cx:dataLabels>
          <cx:dataId val="0"/>
        </cx:series>
      </cx:plotAreaRegion>
    </cx:plotArea>
  </cx:chart>
  <cx:spPr>
    <a:ln w="12700">
      <a:solidFill>
        <a:schemeClr val="accent1">
          <a:lumMod val="75000"/>
        </a:schemeClr>
      </a:solidFill>
    </a:ln>
  </cx:spPr>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strDim type="cat">
        <cx:f>_xlchart.v1.11</cx:f>
      </cx:strDim>
      <cx:numDim type="size">
        <cx:f>_xlchart.v1.13</cx:f>
      </cx:numDim>
    </cx:data>
  </cx:chartData>
  <cx:chart>
    <cx:title pos="t" align="ctr" overlay="0">
      <cx:tx>
        <cx:txData>
          <cx:v>Temp Storage Consumption Detail</cx:v>
        </cx:txData>
      </cx:tx>
      <cx:txPr>
        <a:bodyPr spcFirstLastPara="1" vertOverflow="ellipsis" wrap="square" lIns="0" tIns="0" rIns="0" bIns="0" anchor="ctr" anchorCtr="1"/>
        <a:lstStyle/>
        <a:p>
          <a:pPr algn="ctr">
            <a:defRPr/>
          </a:pPr>
          <a:r>
            <a:rPr lang="en-US" b="1">
              <a:solidFill>
                <a:schemeClr val="accent1">
                  <a:lumMod val="75000"/>
                </a:schemeClr>
              </a:solidFill>
            </a:rPr>
            <a:t>Temp Storage Consumption Detail</a:t>
          </a:r>
        </a:p>
      </cx:txPr>
    </cx:title>
    <cx:plotArea>
      <cx:plotAreaRegion>
        <cx:plotSurface>
          <cx:spPr>
            <a:solidFill>
              <a:schemeClr val="accent1">
                <a:lumMod val="20000"/>
                <a:lumOff val="80000"/>
              </a:schemeClr>
            </a:solidFill>
          </cx:spPr>
        </cx:plotSurface>
        <cx:series layoutId="sunburst" uniqueId="{02A737FF-B4A7-4049-B0AF-04D1EDFC4E8B}">
          <cx:tx>
            <cx:txData>
              <cx:f>_xlchart.v1.12</cx:f>
              <cx:v>Temp Storage</cx:v>
            </cx:txData>
          </cx:tx>
          <cx:dataLabels pos="ctr">
            <cx:visibility seriesName="0" categoryName="1" value="0"/>
          </cx:dataLabels>
          <cx:dataId val="0"/>
        </cx:series>
      </cx:plotAreaRegion>
    </cx:plotArea>
  </cx:chart>
  <cx:spPr>
    <a:ln w="12700">
      <a:solidFill>
        <a:schemeClr val="accent1">
          <a:lumMod val="75000"/>
        </a:schemeClr>
      </a:solidFill>
    </a:ln>
  </cx:spPr>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strDim type="cat">
        <cx:f>_xlchart.v1.14</cx:f>
      </cx:strDim>
      <cx:numDim type="size">
        <cx:f>_xlchart.v1.16</cx:f>
      </cx:numDim>
    </cx:data>
  </cx:chartData>
  <cx:chart>
    <cx:title pos="t" align="ctr" overlay="0">
      <cx:tx>
        <cx:txData>
          <cx:v>Memory Consumption</cx:v>
        </cx:txData>
      </cx:tx>
      <cx:txPr>
        <a:bodyPr spcFirstLastPara="1" vertOverflow="ellipsis" wrap="square" lIns="0" tIns="0" rIns="0" bIns="0" anchor="ctr" anchorCtr="1"/>
        <a:lstStyle/>
        <a:p>
          <a:pPr algn="ctr">
            <a:defRPr/>
          </a:pPr>
          <a:r>
            <a:rPr lang="en-US" b="1">
              <a:solidFill>
                <a:schemeClr val="accent1">
                  <a:lumMod val="75000"/>
                </a:schemeClr>
              </a:solidFill>
            </a:rPr>
            <a:t>Memory Consumption</a:t>
          </a:r>
        </a:p>
      </cx:txPr>
    </cx:title>
    <cx:plotArea>
      <cx:plotAreaRegion>
        <cx:plotSurface>
          <cx:spPr>
            <a:solidFill>
              <a:schemeClr val="accent1">
                <a:lumMod val="20000"/>
                <a:lumOff val="80000"/>
              </a:schemeClr>
            </a:solidFill>
          </cx:spPr>
        </cx:plotSurface>
        <cx:series layoutId="sunburst" uniqueId="{AB3673A7-64EC-4D6F-A236-7C5460EDF3FB}">
          <cx:tx>
            <cx:txData>
              <cx:f>_xlchart.v1.15</cx:f>
              <cx:v>Memory</cx:v>
            </cx:txData>
          </cx:tx>
          <cx:dataLabels pos="ctr">
            <cx:visibility seriesName="0" categoryName="1" value="0"/>
          </cx:dataLabels>
          <cx:dataId val="0"/>
        </cx:series>
      </cx:plotAreaRegion>
    </cx:plotArea>
  </cx:chart>
  <cx:spPr>
    <a:ln w="12700">
      <a:solidFill>
        <a:schemeClr val="accent1">
          <a:lumMod val="75000"/>
        </a:schemeClr>
      </a:solidFill>
    </a:ln>
  </cx:spPr>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strDim type="cat">
        <cx:f>_xlchart.v1.22</cx:f>
      </cx:strDim>
      <cx:numDim type="size">
        <cx:f>_xlchart.v1.23</cx:f>
      </cx:numDim>
    </cx:data>
  </cx:chartData>
  <cx:chart>
    <cx:title pos="t" align="ctr" overlay="0">
      <cx:tx>
        <cx:txData>
          <cx:v>Disk Consumption</cx:v>
        </cx:txData>
      </cx:tx>
      <cx:txPr>
        <a:bodyPr spcFirstLastPara="1" vertOverflow="ellipsis" wrap="square" lIns="0" tIns="0" rIns="0" bIns="0" anchor="ctr" anchorCtr="1"/>
        <a:lstStyle/>
        <a:p>
          <a:pPr algn="ctr">
            <a:defRPr/>
          </a:pPr>
          <a:r>
            <a:rPr lang="en-US" baseline="0">
              <a:solidFill>
                <a:schemeClr val="accent1">
                  <a:lumMod val="75000"/>
                </a:schemeClr>
              </a:solidFill>
            </a:rPr>
            <a:t>Disk Consumption</a:t>
          </a:r>
        </a:p>
      </cx:txPr>
    </cx:title>
    <cx:plotArea>
      <cx:plotAreaRegion>
        <cx:plotSurface>
          <cx:spPr>
            <a:solidFill>
              <a:schemeClr val="accent1">
                <a:lumMod val="20000"/>
                <a:lumOff val="80000"/>
              </a:schemeClr>
            </a:solidFill>
          </cx:spPr>
        </cx:plotSurface>
        <cx:series layoutId="sunburst" uniqueId="{9D3FFFFF-26A6-4DF8-B0E2-4A5F9598D8B6}">
          <cx:dataLabels pos="ctr">
            <cx:visibility seriesName="0" categoryName="1" value="0"/>
          </cx:dataLabels>
          <cx:dataId val="0"/>
        </cx:series>
      </cx:plotAreaRegion>
    </cx:plotArea>
  </cx:chart>
  <cx:spPr>
    <a:ln w="12700">
      <a:solidFill>
        <a:schemeClr val="accent1">
          <a:lumMod val="75000"/>
        </a:schemeClr>
      </a:solidFill>
    </a:ln>
  </cx:spPr>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strDim type="cat">
        <cx:f>_xlchart.v1.20</cx:f>
      </cx:strDim>
      <cx:numDim type="size">
        <cx:f>_xlchart.v1.21</cx:f>
      </cx:numDim>
    </cx:data>
  </cx:chartData>
  <cx:chart>
    <cx:title pos="t" align="ctr" overlay="0">
      <cx:tx>
        <cx:txData>
          <cx:v>CPU Core Consumption</cx:v>
        </cx:txData>
      </cx:tx>
      <cx:txPr>
        <a:bodyPr spcFirstLastPara="1" vertOverflow="ellipsis" wrap="square" lIns="0" tIns="0" rIns="0" bIns="0" anchor="ctr" anchorCtr="1"/>
        <a:lstStyle/>
        <a:p>
          <a:pPr algn="ctr">
            <a:defRPr/>
          </a:pPr>
          <a:r>
            <a:rPr lang="en-US" sz="1600" b="1">
              <a:solidFill>
                <a:schemeClr val="accent1">
                  <a:lumMod val="75000"/>
                </a:schemeClr>
              </a:solidFill>
            </a:rPr>
            <a:t>CPU Core Consumption</a:t>
          </a:r>
        </a:p>
      </cx:txPr>
    </cx:title>
    <cx:plotArea>
      <cx:plotAreaRegion>
        <cx:plotSurface>
          <cx:spPr>
            <a:solidFill>
              <a:schemeClr val="accent1">
                <a:lumMod val="20000"/>
                <a:lumOff val="80000"/>
              </a:schemeClr>
            </a:solidFill>
          </cx:spPr>
        </cx:plotSurface>
        <cx:series layoutId="sunburst" uniqueId="{C19CF1E2-6E83-4506-9C0C-9B5D8210135E}">
          <cx:dataLabels pos="ctr">
            <cx:visibility seriesName="0" categoryName="1" value="0"/>
          </cx:dataLabels>
          <cx:dataId val="0"/>
        </cx:series>
      </cx:plotAreaRegion>
    </cx:plotArea>
  </cx:chart>
  <cx:spPr>
    <a:ln w="12700">
      <a:solidFill>
        <a:schemeClr val="accent1">
          <a:lumMod val="75000"/>
        </a:schemeClr>
      </a:solidFill>
    </a:ln>
  </cx:spPr>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strDim type="cat">
        <cx:f>_xlchart.v1.26</cx:f>
      </cx:strDim>
      <cx:numDim type="size">
        <cx:f>_xlchart.v1.27</cx:f>
      </cx:numDim>
    </cx:data>
  </cx:chartData>
  <cx:chart>
    <cx:title pos="t" align="ctr" overlay="0">
      <cx:tx>
        <cx:txData>
          <cx:v>Memory Consumption</cx:v>
        </cx:txData>
      </cx:tx>
      <cx:txPr>
        <a:bodyPr spcFirstLastPara="1" vertOverflow="ellipsis" wrap="square" lIns="0" tIns="0" rIns="0" bIns="0" anchor="ctr" anchorCtr="1"/>
        <a:lstStyle/>
        <a:p>
          <a:pPr algn="ctr">
            <a:defRPr/>
          </a:pPr>
          <a:r>
            <a:rPr lang="en-US" baseline="0">
              <a:solidFill>
                <a:schemeClr val="accent1">
                  <a:lumMod val="75000"/>
                </a:schemeClr>
              </a:solidFill>
            </a:rPr>
            <a:t>Memory Consumption</a:t>
          </a:r>
        </a:p>
      </cx:txPr>
    </cx:title>
    <cx:plotArea>
      <cx:plotAreaRegion>
        <cx:plotSurface>
          <cx:spPr>
            <a:solidFill>
              <a:schemeClr val="accent1">
                <a:lumMod val="20000"/>
                <a:lumOff val="80000"/>
              </a:schemeClr>
            </a:solidFill>
          </cx:spPr>
        </cx:plotSurface>
        <cx:series layoutId="sunburst" uniqueId="{9809092C-5416-4328-85C0-B119DA25E8C0}">
          <cx:dataLabels pos="ctr">
            <cx:visibility seriesName="0" categoryName="1" value="0"/>
          </cx:dataLabels>
          <cx:dataId val="0"/>
        </cx:series>
      </cx:plotAreaRegion>
    </cx:plotArea>
  </cx:chart>
  <cx:spPr>
    <a:ln w="12700">
      <a:solidFill>
        <a:schemeClr val="accent1">
          <a:lumMod val="75000"/>
        </a:schemeClr>
      </a:solidFill>
    </a:ln>
  </cx:spPr>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strDim type="cat">
        <cx:f>_xlchart.v1.24</cx:f>
      </cx:strDim>
      <cx:numDim type="size">
        <cx:f>_xlchart.v1.25</cx:f>
      </cx:numDim>
    </cx:data>
  </cx:chartData>
  <cx:chart>
    <cx:title pos="t" align="ctr" overlay="0">
      <cx:tx>
        <cx:txData>
          <cx:v>Temp Disk Consumption</cx:v>
        </cx:txData>
      </cx:tx>
      <cx:txPr>
        <a:bodyPr spcFirstLastPara="1" vertOverflow="ellipsis" wrap="square" lIns="0" tIns="0" rIns="0" bIns="0" anchor="ctr" anchorCtr="1"/>
        <a:lstStyle/>
        <a:p>
          <a:pPr algn="ctr">
            <a:defRPr sz="1600" b="1" i="0" baseline="0">
              <a:solidFill>
                <a:schemeClr val="accent1">
                  <a:lumMod val="75000"/>
                </a:schemeClr>
              </a:solidFill>
            </a:defRPr>
          </a:pPr>
          <a:r>
            <a:rPr lang="en-US" sz="1600" b="1" i="0" baseline="0">
              <a:solidFill>
                <a:schemeClr val="accent1">
                  <a:lumMod val="75000"/>
                </a:schemeClr>
              </a:solidFill>
            </a:rPr>
            <a:t>Temp Disk Consumption</a:t>
          </a:r>
        </a:p>
      </cx:txPr>
    </cx:title>
    <cx:plotArea>
      <cx:plotAreaRegion>
        <cx:plotSurface>
          <cx:spPr>
            <a:solidFill>
              <a:schemeClr val="accent1">
                <a:lumMod val="20000"/>
                <a:lumOff val="80000"/>
              </a:schemeClr>
            </a:solidFill>
          </cx:spPr>
        </cx:plotSurface>
        <cx:series layoutId="sunburst" uniqueId="{506E5756-3361-4312-87CD-FD2C5BA9785B}">
          <cx:dataLabels pos="ctr">
            <cx:visibility seriesName="0" categoryName="1" value="0"/>
          </cx:dataLabels>
          <cx:dataId val="0"/>
        </cx:series>
      </cx:plotAreaRegion>
    </cx:plotArea>
  </cx:chart>
  <cx:spPr>
    <a:ln w="12700">
      <a:solidFill>
        <a:schemeClr val="accent1">
          <a:lumMod val="75000"/>
        </a:schemeClr>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5.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26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0.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1.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2.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3.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8.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7.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7.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9.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3.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5.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7.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9.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1.xml><?xml version="1.0" encoding="utf-8"?>
<cs:chartStyle xmlns:cs="http://schemas.microsoft.com/office/drawing/2012/chartStyle" xmlns:a="http://schemas.openxmlformats.org/drawingml/2006/main" id="26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2.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3.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4.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5.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6.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7.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9.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2.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openxmlformats.org/officeDocument/2006/relationships/hyperlink" Target="mailto:AzS-WAF-Feedback@microsoft.com?subject=Azure%20Stack%20Hub%20Capacity%20Planner%20Feedback" TargetMode="External"/><Relationship Id="rId1" Type="http://schemas.openxmlformats.org/officeDocument/2006/relationships/hyperlink" Target="#Instructions!A1"/></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8.xml"/><Relationship Id="rId13" Type="http://schemas.microsoft.com/office/2014/relationships/chartEx" Target="../charts/chartEx1.xml"/><Relationship Id="rId18" Type="http://schemas.openxmlformats.org/officeDocument/2006/relationships/chart" Target="../charts/chart24.xml"/><Relationship Id="rId3" Type="http://schemas.openxmlformats.org/officeDocument/2006/relationships/chart" Target="../charts/chart13.xml"/><Relationship Id="rId7" Type="http://schemas.openxmlformats.org/officeDocument/2006/relationships/chart" Target="../charts/chart17.xml"/><Relationship Id="rId12" Type="http://schemas.openxmlformats.org/officeDocument/2006/relationships/chart" Target="../charts/chart22.xml"/><Relationship Id="rId17" Type="http://schemas.openxmlformats.org/officeDocument/2006/relationships/chart" Target="../charts/chart23.xml"/><Relationship Id="rId2" Type="http://schemas.openxmlformats.org/officeDocument/2006/relationships/chart" Target="../charts/chart12.xml"/><Relationship Id="rId16" Type="http://schemas.microsoft.com/office/2014/relationships/chartEx" Target="../charts/chartEx4.xml"/><Relationship Id="rId1" Type="http://schemas.openxmlformats.org/officeDocument/2006/relationships/chart" Target="../charts/chart11.xml"/><Relationship Id="rId6" Type="http://schemas.openxmlformats.org/officeDocument/2006/relationships/chart" Target="../charts/chart16.xml"/><Relationship Id="rId11" Type="http://schemas.openxmlformats.org/officeDocument/2006/relationships/chart" Target="../charts/chart21.xml"/><Relationship Id="rId5" Type="http://schemas.openxmlformats.org/officeDocument/2006/relationships/chart" Target="../charts/chart15.xml"/><Relationship Id="rId15" Type="http://schemas.microsoft.com/office/2014/relationships/chartEx" Target="../charts/chartEx3.xml"/><Relationship Id="rId10" Type="http://schemas.openxmlformats.org/officeDocument/2006/relationships/chart" Target="../charts/chart20.xml"/><Relationship Id="rId4" Type="http://schemas.openxmlformats.org/officeDocument/2006/relationships/chart" Target="../charts/chart14.xml"/><Relationship Id="rId9" Type="http://schemas.openxmlformats.org/officeDocument/2006/relationships/chart" Target="../charts/chart19.xml"/><Relationship Id="rId14" Type="http://schemas.microsoft.com/office/2014/relationships/chartEx" Target="../charts/chartEx2.xml"/></Relationships>
</file>

<file path=xl/drawings/_rels/drawing4.xml.rels><?xml version="1.0" encoding="UTF-8" standalone="yes"?>
<Relationships xmlns="http://schemas.openxmlformats.org/package/2006/relationships"><Relationship Id="rId13" Type="http://schemas.openxmlformats.org/officeDocument/2006/relationships/chart" Target="../charts/chart33.xml"/><Relationship Id="rId18" Type="http://schemas.openxmlformats.org/officeDocument/2006/relationships/chart" Target="../charts/chart38.xml"/><Relationship Id="rId26" Type="http://schemas.openxmlformats.org/officeDocument/2006/relationships/chart" Target="../charts/chart46.xml"/><Relationship Id="rId39" Type="http://schemas.microsoft.com/office/2014/relationships/chartEx" Target="../charts/chartEx11.xml"/><Relationship Id="rId21" Type="http://schemas.openxmlformats.org/officeDocument/2006/relationships/chart" Target="../charts/chart41.xml"/><Relationship Id="rId34" Type="http://schemas.openxmlformats.org/officeDocument/2006/relationships/chart" Target="../charts/chart54.xml"/><Relationship Id="rId42" Type="http://schemas.openxmlformats.org/officeDocument/2006/relationships/chart" Target="../charts/chart58.xml"/><Relationship Id="rId7" Type="http://schemas.openxmlformats.org/officeDocument/2006/relationships/chart" Target="../charts/chart31.xml"/><Relationship Id="rId2" Type="http://schemas.openxmlformats.org/officeDocument/2006/relationships/chart" Target="../charts/chart26.xml"/><Relationship Id="rId16" Type="http://schemas.openxmlformats.org/officeDocument/2006/relationships/chart" Target="../charts/chart36.xml"/><Relationship Id="rId20" Type="http://schemas.openxmlformats.org/officeDocument/2006/relationships/chart" Target="../charts/chart40.xml"/><Relationship Id="rId29" Type="http://schemas.openxmlformats.org/officeDocument/2006/relationships/chart" Target="../charts/chart49.xml"/><Relationship Id="rId41" Type="http://schemas.openxmlformats.org/officeDocument/2006/relationships/chart" Target="../charts/chart57.xml"/><Relationship Id="rId1" Type="http://schemas.openxmlformats.org/officeDocument/2006/relationships/chart" Target="../charts/chart25.xml"/><Relationship Id="rId6" Type="http://schemas.openxmlformats.org/officeDocument/2006/relationships/chart" Target="../charts/chart30.xml"/><Relationship Id="rId11" Type="http://schemas.microsoft.com/office/2014/relationships/chartEx" Target="../charts/chartEx7.xml"/><Relationship Id="rId24" Type="http://schemas.openxmlformats.org/officeDocument/2006/relationships/chart" Target="../charts/chart44.xml"/><Relationship Id="rId32" Type="http://schemas.openxmlformats.org/officeDocument/2006/relationships/chart" Target="../charts/chart52.xml"/><Relationship Id="rId37" Type="http://schemas.microsoft.com/office/2014/relationships/chartEx" Target="../charts/chartEx9.xml"/><Relationship Id="rId40" Type="http://schemas.microsoft.com/office/2014/relationships/chartEx" Target="../charts/chartEx12.xml"/><Relationship Id="rId5" Type="http://schemas.openxmlformats.org/officeDocument/2006/relationships/chart" Target="../charts/chart29.xml"/><Relationship Id="rId15" Type="http://schemas.openxmlformats.org/officeDocument/2006/relationships/chart" Target="../charts/chart35.xml"/><Relationship Id="rId23" Type="http://schemas.openxmlformats.org/officeDocument/2006/relationships/chart" Target="../charts/chart43.xml"/><Relationship Id="rId28" Type="http://schemas.openxmlformats.org/officeDocument/2006/relationships/chart" Target="../charts/chart48.xml"/><Relationship Id="rId36" Type="http://schemas.openxmlformats.org/officeDocument/2006/relationships/chart" Target="../charts/chart56.xml"/><Relationship Id="rId10" Type="http://schemas.microsoft.com/office/2014/relationships/chartEx" Target="../charts/chartEx6.xml"/><Relationship Id="rId19" Type="http://schemas.openxmlformats.org/officeDocument/2006/relationships/chart" Target="../charts/chart39.xml"/><Relationship Id="rId31" Type="http://schemas.openxmlformats.org/officeDocument/2006/relationships/chart" Target="../charts/chart51.xml"/><Relationship Id="rId44" Type="http://schemas.openxmlformats.org/officeDocument/2006/relationships/chart" Target="../charts/chart60.xml"/><Relationship Id="rId4" Type="http://schemas.openxmlformats.org/officeDocument/2006/relationships/chart" Target="../charts/chart28.xml"/><Relationship Id="rId9" Type="http://schemas.microsoft.com/office/2014/relationships/chartEx" Target="../charts/chartEx5.xml"/><Relationship Id="rId14" Type="http://schemas.openxmlformats.org/officeDocument/2006/relationships/chart" Target="../charts/chart34.xml"/><Relationship Id="rId22" Type="http://schemas.openxmlformats.org/officeDocument/2006/relationships/chart" Target="../charts/chart42.xml"/><Relationship Id="rId27" Type="http://schemas.openxmlformats.org/officeDocument/2006/relationships/chart" Target="../charts/chart47.xml"/><Relationship Id="rId30" Type="http://schemas.openxmlformats.org/officeDocument/2006/relationships/chart" Target="../charts/chart50.xml"/><Relationship Id="rId35" Type="http://schemas.openxmlformats.org/officeDocument/2006/relationships/chart" Target="../charts/chart55.xml"/><Relationship Id="rId43" Type="http://schemas.openxmlformats.org/officeDocument/2006/relationships/chart" Target="../charts/chart59.xml"/><Relationship Id="rId8" Type="http://schemas.openxmlformats.org/officeDocument/2006/relationships/chart" Target="../charts/chart32.xml"/><Relationship Id="rId3" Type="http://schemas.openxmlformats.org/officeDocument/2006/relationships/chart" Target="../charts/chart27.xml"/><Relationship Id="rId12" Type="http://schemas.microsoft.com/office/2014/relationships/chartEx" Target="../charts/chartEx8.xml"/><Relationship Id="rId17" Type="http://schemas.openxmlformats.org/officeDocument/2006/relationships/chart" Target="../charts/chart37.xml"/><Relationship Id="rId25" Type="http://schemas.openxmlformats.org/officeDocument/2006/relationships/chart" Target="../charts/chart45.xml"/><Relationship Id="rId33" Type="http://schemas.openxmlformats.org/officeDocument/2006/relationships/chart" Target="../charts/chart53.xml"/><Relationship Id="rId38" Type="http://schemas.microsoft.com/office/2014/relationships/chartEx" Target="../charts/chartEx10.xml"/></Relationships>
</file>

<file path=xl/drawings/drawing1.xml><?xml version="1.0" encoding="utf-8"?>
<xdr:wsDr xmlns:xdr="http://schemas.openxmlformats.org/drawingml/2006/spreadsheetDrawing" xmlns:a="http://schemas.openxmlformats.org/drawingml/2006/main">
  <xdr:twoCellAnchor>
    <xdr:from>
      <xdr:col>0</xdr:col>
      <xdr:colOff>27214</xdr:colOff>
      <xdr:row>0</xdr:row>
      <xdr:rowOff>29935</xdr:rowOff>
    </xdr:from>
    <xdr:to>
      <xdr:col>12</xdr:col>
      <xdr:colOff>76200</xdr:colOff>
      <xdr:row>18</xdr:row>
      <xdr:rowOff>76199</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7214" y="29935"/>
          <a:ext cx="7135586" cy="361813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dk1"/>
              </a:solidFill>
              <a:effectLst/>
              <a:latin typeface="+mn-lt"/>
              <a:ea typeface="+mn-ea"/>
              <a:cs typeface="+mn-cs"/>
            </a:rPr>
            <a:t>Azure Stack Hub Capacity Planner</a:t>
          </a:r>
        </a:p>
        <a:p>
          <a:r>
            <a:rPr lang="en-US" sz="2000" b="1">
              <a:solidFill>
                <a:schemeClr val="dk1"/>
              </a:solidFill>
              <a:effectLst/>
              <a:latin typeface="+mn-lt"/>
              <a:ea typeface="+mn-ea"/>
              <a:cs typeface="+mn-cs"/>
            </a:rPr>
            <a:t>Version </a:t>
          </a:r>
          <a:r>
            <a:rPr lang="en-US" sz="2000" b="1" u="sng">
              <a:solidFill>
                <a:schemeClr val="dk1"/>
              </a:solidFill>
              <a:effectLst/>
              <a:latin typeface="+mn-lt"/>
              <a:ea typeface="+mn-ea"/>
              <a:cs typeface="+mn-cs"/>
            </a:rPr>
            <a:t>2306.02</a:t>
          </a:r>
        </a:p>
        <a:p>
          <a:r>
            <a:rPr lang="en-US" sz="2000" b="1" baseline="0">
              <a:solidFill>
                <a:schemeClr val="dk1"/>
              </a:solidFill>
              <a:effectLst/>
              <a:latin typeface="+mn-lt"/>
              <a:ea typeface="+mn-ea"/>
              <a:cs typeface="+mn-cs"/>
            </a:rPr>
            <a:t>October 12, 2023</a:t>
          </a:r>
          <a:endParaRPr lang="en-US" sz="2000" b="1">
            <a:solidFill>
              <a:schemeClr val="dk1"/>
            </a:solidFill>
            <a:effectLst/>
            <a:latin typeface="+mn-lt"/>
            <a:ea typeface="+mn-ea"/>
            <a:cs typeface="+mn-cs"/>
          </a:endParaRPr>
        </a:p>
        <a:p>
          <a:endParaRPr lang="en-US" sz="2000" b="1">
            <a:solidFill>
              <a:schemeClr val="dk1"/>
            </a:solidFill>
            <a:effectLst/>
            <a:latin typeface="+mn-lt"/>
            <a:ea typeface="+mn-ea"/>
            <a:cs typeface="+mn-cs"/>
          </a:endParaRPr>
        </a:p>
        <a:p>
          <a:r>
            <a:rPr lang="en-US" sz="2000" b="1">
              <a:solidFill>
                <a:schemeClr val="dk1"/>
              </a:solidFill>
              <a:effectLst/>
              <a:latin typeface="+mn-lt"/>
              <a:ea typeface="+mn-ea"/>
              <a:cs typeface="+mn-cs"/>
            </a:rPr>
            <a:t>This spreadsheet is intended as a guide to help you in making decisions related to your Azure Stack Hub planning and configuration. It is not intended to serve as a substitute for your own investigation and analysis. Microsoft makes no representations or warranties, express or implied, with respect to the information provided by this tool.</a:t>
          </a:r>
        </a:p>
      </xdr:txBody>
    </xdr:sp>
    <xdr:clientData/>
  </xdr:twoCellAnchor>
  <xdr:twoCellAnchor>
    <xdr:from>
      <xdr:col>0</xdr:col>
      <xdr:colOff>27214</xdr:colOff>
      <xdr:row>18</xdr:row>
      <xdr:rowOff>68036</xdr:rowOff>
    </xdr:from>
    <xdr:to>
      <xdr:col>12</xdr:col>
      <xdr:colOff>76200</xdr:colOff>
      <xdr:row>22</xdr:row>
      <xdr:rowOff>76200</xdr:rowOff>
    </xdr:to>
    <xdr:sp macro="" textlink="">
      <xdr:nvSpPr>
        <xdr:cNvPr id="3" name="TextBox 2">
          <a:hlinkClick xmlns:r="http://schemas.openxmlformats.org/officeDocument/2006/relationships" r:id="rId1"/>
          <a:extLst>
            <a:ext uri="{FF2B5EF4-FFF2-40B4-BE49-F238E27FC236}">
              <a16:creationId xmlns:a16="http://schemas.microsoft.com/office/drawing/2014/main" id="{7F04CCDC-E391-4E7F-90EA-5BC7AF953C56}"/>
            </a:ext>
          </a:extLst>
        </xdr:cNvPr>
        <xdr:cNvSpPr txBox="1"/>
      </xdr:nvSpPr>
      <xdr:spPr>
        <a:xfrm>
          <a:off x="27214" y="3639911"/>
          <a:ext cx="7135586" cy="7701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i="0" u="none" strike="noStrike">
              <a:solidFill>
                <a:srgbClr val="000000"/>
              </a:solidFill>
              <a:effectLst/>
              <a:latin typeface="Calibri" panose="020F0502020204030204" pitchFamily="34" charset="0"/>
            </a:rPr>
            <a:t>Use the Tabs / Sheets below to navigate through the tool, starting with "</a:t>
          </a:r>
          <a:r>
            <a:rPr lang="en-GB" sz="2000" b="1" i="0" u="sng" strike="noStrike">
              <a:solidFill>
                <a:srgbClr val="0070C0"/>
              </a:solidFill>
              <a:effectLst/>
              <a:latin typeface="Calibri" panose="020F0502020204030204" pitchFamily="34" charset="0"/>
            </a:rPr>
            <a:t>Instructions</a:t>
          </a:r>
          <a:r>
            <a:rPr lang="en-GB" sz="2000" b="1" i="0" u="none" strike="noStrike">
              <a:solidFill>
                <a:srgbClr val="000000"/>
              </a:solidFill>
              <a:effectLst/>
              <a:latin typeface="Calibri" panose="020F0502020204030204" pitchFamily="34" charset="0"/>
            </a:rPr>
            <a:t>".</a:t>
          </a:r>
          <a:endParaRPr lang="en-US" sz="2000" b="1">
            <a:solidFill>
              <a:schemeClr val="dk1"/>
            </a:solidFill>
            <a:effectLst/>
            <a:latin typeface="+mn-lt"/>
            <a:ea typeface="+mn-ea"/>
            <a:cs typeface="+mn-cs"/>
          </a:endParaRPr>
        </a:p>
      </xdr:txBody>
    </xdr:sp>
    <xdr:clientData/>
  </xdr:twoCellAnchor>
  <xdr:twoCellAnchor>
    <xdr:from>
      <xdr:col>0</xdr:col>
      <xdr:colOff>28575</xdr:colOff>
      <xdr:row>22</xdr:row>
      <xdr:rowOff>85725</xdr:rowOff>
    </xdr:from>
    <xdr:to>
      <xdr:col>12</xdr:col>
      <xdr:colOff>77561</xdr:colOff>
      <xdr:row>27</xdr:row>
      <xdr:rowOff>123825</xdr:rowOff>
    </xdr:to>
    <xdr:sp macro="" textlink="">
      <xdr:nvSpPr>
        <xdr:cNvPr id="4" name="TextBox 3">
          <a:hlinkClick xmlns:r="http://schemas.openxmlformats.org/officeDocument/2006/relationships" r:id="rId2"/>
          <a:extLst>
            <a:ext uri="{FF2B5EF4-FFF2-40B4-BE49-F238E27FC236}">
              <a16:creationId xmlns:a16="http://schemas.microsoft.com/office/drawing/2014/main" id="{62C94FC8-826D-4A29-A062-A387D67B8656}"/>
            </a:ext>
          </a:extLst>
        </xdr:cNvPr>
        <xdr:cNvSpPr txBox="1"/>
      </xdr:nvSpPr>
      <xdr:spPr>
        <a:xfrm>
          <a:off x="28575" y="4419600"/>
          <a:ext cx="7135586" cy="990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2000" b="1" i="0" u="none" strike="noStrike">
            <a:solidFill>
              <a:srgbClr val="000000"/>
            </a:solidFill>
            <a:effectLst/>
            <a:latin typeface="Calibri" panose="020F0502020204030204" pitchFamily="34" charset="0"/>
          </a:endParaRPr>
        </a:p>
        <a:p>
          <a:r>
            <a:rPr lang="en-GB" sz="2000" b="1" i="0" u="none" strike="noStrike">
              <a:solidFill>
                <a:srgbClr val="000000"/>
              </a:solidFill>
              <a:effectLst/>
              <a:latin typeface="Calibri" panose="020F0502020204030204" pitchFamily="34" charset="0"/>
            </a:rPr>
            <a:t>Feedback: </a:t>
          </a:r>
          <a:r>
            <a:rPr lang="en-GB" sz="2000" b="1" i="0" u="sng" strike="noStrike">
              <a:solidFill>
                <a:srgbClr val="0070C0"/>
              </a:solidFill>
              <a:effectLst/>
              <a:latin typeface="Calibri" panose="020F0502020204030204" pitchFamily="34" charset="0"/>
              <a:ea typeface="+mn-ea"/>
              <a:cs typeface="+mn-cs"/>
            </a:rPr>
            <a:t>AzS-WAF-Feedback@microsoft.com</a:t>
          </a:r>
          <a:endParaRPr lang="en-GB" sz="2000" b="1" i="0" u="none" strike="noStrike">
            <a:solidFill>
              <a:srgbClr val="000000"/>
            </a:solidFill>
            <a:effectLst/>
            <a:latin typeface="Calibri" panose="020F0502020204030204" pitchFamily="34" charset="0"/>
          </a:endParaRPr>
        </a:p>
        <a:p>
          <a:endParaRPr lang="en-US" sz="2000" b="1">
            <a:solidFill>
              <a:schemeClr val="dk1"/>
            </a:solidFill>
            <a:effectLst/>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2</xdr:col>
      <xdr:colOff>35277</xdr:colOff>
      <xdr:row>0</xdr:row>
      <xdr:rowOff>9912</xdr:rowOff>
    </xdr:from>
    <xdr:ext cx="8393800" cy="639018"/>
    <xdr:sp macro="" textlink="">
      <xdr:nvSpPr>
        <xdr:cNvPr id="17" name="Rectangle 16">
          <a:extLst>
            <a:ext uri="{FF2B5EF4-FFF2-40B4-BE49-F238E27FC236}">
              <a16:creationId xmlns:a16="http://schemas.microsoft.com/office/drawing/2014/main" id="{00000000-0008-0000-0300-000011000000}"/>
            </a:ext>
          </a:extLst>
        </xdr:cNvPr>
        <xdr:cNvSpPr/>
      </xdr:nvSpPr>
      <xdr:spPr>
        <a:xfrm>
          <a:off x="1205491" y="9912"/>
          <a:ext cx="8393800" cy="639018"/>
        </a:xfrm>
        <a:prstGeom prst="rect">
          <a:avLst/>
        </a:prstGeom>
        <a:solidFill>
          <a:schemeClr val="bg1"/>
        </a:solidFill>
      </xdr:spPr>
      <xdr:txBody>
        <a:bodyPr wrap="square" lIns="91440" tIns="45720" rIns="91440" bIns="45720">
          <a:noAutofit/>
        </a:bodyPr>
        <a:lstStyle/>
        <a:p>
          <a:pPr algn="ctr"/>
          <a:r>
            <a:rPr lang="en-US" sz="5400" b="0" cap="none" spc="0">
              <a:ln w="0"/>
              <a:solidFill>
                <a:schemeClr val="accent1"/>
              </a:solidFill>
              <a:effectLst>
                <a:outerShdw blurRad="38100" dist="25400" dir="5400000" algn="ctr" rotWithShape="0">
                  <a:srgbClr val="6E747A">
                    <a:alpha val="43000"/>
                  </a:srgbClr>
                </a:outerShdw>
              </a:effectLst>
            </a:rPr>
            <a:t>Azure Stack Capacity Planner</a:t>
          </a:r>
        </a:p>
      </xdr:txBody>
    </xdr:sp>
    <xdr:clientData/>
  </xdr:oneCellAnchor>
  <xdr:twoCellAnchor>
    <xdr:from>
      <xdr:col>11</xdr:col>
      <xdr:colOff>135778</xdr:colOff>
      <xdr:row>11</xdr:row>
      <xdr:rowOff>206829</xdr:rowOff>
    </xdr:from>
    <xdr:to>
      <xdr:col>22</xdr:col>
      <xdr:colOff>886002</xdr:colOff>
      <xdr:row>67</xdr:row>
      <xdr:rowOff>150800</xdr:rowOff>
    </xdr:to>
    <xdr:grpSp>
      <xdr:nvGrpSpPr>
        <xdr:cNvPr id="7" name="Group 6">
          <a:extLst>
            <a:ext uri="{FF2B5EF4-FFF2-40B4-BE49-F238E27FC236}">
              <a16:creationId xmlns:a16="http://schemas.microsoft.com/office/drawing/2014/main" id="{00000000-0008-0000-0300-000007000000}"/>
            </a:ext>
          </a:extLst>
        </xdr:cNvPr>
        <xdr:cNvGrpSpPr/>
      </xdr:nvGrpSpPr>
      <xdr:grpSpPr>
        <a:xfrm>
          <a:off x="12005393" y="2668675"/>
          <a:ext cx="11989724" cy="11505856"/>
          <a:chOff x="8086507" y="2515579"/>
          <a:chExt cx="9588305" cy="6857473"/>
        </a:xfrm>
      </xdr:grpSpPr>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noChangeAspect="1"/>
          </xdr:cNvGraphicFramePr>
        </xdr:nvGraphicFramePr>
        <xdr:xfrm>
          <a:off x="8112011" y="2526130"/>
          <a:ext cx="3461574" cy="2468037"/>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4" name="Chart 13">
            <a:extLst>
              <a:ext uri="{FF2B5EF4-FFF2-40B4-BE49-F238E27FC236}">
                <a16:creationId xmlns:a16="http://schemas.microsoft.com/office/drawing/2014/main" id="{00000000-0008-0000-0300-00000E000000}"/>
              </a:ext>
            </a:extLst>
          </xdr:cNvPr>
          <xdr:cNvGraphicFramePr>
            <a:graphicFrameLocks noChangeAspect="1"/>
          </xdr:cNvGraphicFramePr>
        </xdr:nvGraphicFramePr>
        <xdr:xfrm>
          <a:off x="11623686" y="2515579"/>
          <a:ext cx="3415303" cy="2489884"/>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8" name="Chart 17">
            <a:extLst>
              <a:ext uri="{FF2B5EF4-FFF2-40B4-BE49-F238E27FC236}">
                <a16:creationId xmlns:a16="http://schemas.microsoft.com/office/drawing/2014/main" id="{00000000-0008-0000-0300-000012000000}"/>
              </a:ext>
            </a:extLst>
          </xdr:cNvPr>
          <xdr:cNvGraphicFramePr>
            <a:graphicFrameLocks/>
          </xdr:cNvGraphicFramePr>
        </xdr:nvGraphicFramePr>
        <xdr:xfrm>
          <a:off x="8105977" y="5070225"/>
          <a:ext cx="3464396" cy="2467333"/>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20" name="Chart 19">
            <a:extLst>
              <a:ext uri="{FF2B5EF4-FFF2-40B4-BE49-F238E27FC236}">
                <a16:creationId xmlns:a16="http://schemas.microsoft.com/office/drawing/2014/main" id="{00000000-0008-0000-0300-000014000000}"/>
              </a:ext>
            </a:extLst>
          </xdr:cNvPr>
          <xdr:cNvGraphicFramePr>
            <a:graphicFrameLocks/>
          </xdr:cNvGraphicFramePr>
        </xdr:nvGraphicFramePr>
        <xdr:xfrm>
          <a:off x="11620538" y="5056357"/>
          <a:ext cx="3401189" cy="2471883"/>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6" name="Group 5">
            <a:extLst>
              <a:ext uri="{FF2B5EF4-FFF2-40B4-BE49-F238E27FC236}">
                <a16:creationId xmlns:a16="http://schemas.microsoft.com/office/drawing/2014/main" id="{00000000-0008-0000-0300-000006000000}"/>
              </a:ext>
            </a:extLst>
          </xdr:cNvPr>
          <xdr:cNvGrpSpPr/>
        </xdr:nvGrpSpPr>
        <xdr:grpSpPr>
          <a:xfrm>
            <a:off x="8086507" y="7573728"/>
            <a:ext cx="9588305" cy="1799324"/>
            <a:chOff x="7998921" y="7606573"/>
            <a:chExt cx="9588305" cy="1799324"/>
          </a:xfrm>
        </xdr:grpSpPr>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7998921" y="7606573"/>
            <a:ext cx="2374123" cy="1799324"/>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10399093" y="7606573"/>
            <a:ext cx="2378619" cy="1799324"/>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9" name="Chart 18">
              <a:extLst>
                <a:ext uri="{FF2B5EF4-FFF2-40B4-BE49-F238E27FC236}">
                  <a16:creationId xmlns:a16="http://schemas.microsoft.com/office/drawing/2014/main" id="{00000000-0008-0000-0300-000013000000}"/>
                </a:ext>
              </a:extLst>
            </xdr:cNvPr>
            <xdr:cNvGraphicFramePr>
              <a:graphicFrameLocks/>
            </xdr:cNvGraphicFramePr>
          </xdr:nvGraphicFramePr>
          <xdr:xfrm>
            <a:off x="12803761" y="7606573"/>
            <a:ext cx="2379338" cy="1799324"/>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22" name="Chart 21">
              <a:extLst>
                <a:ext uri="{FF2B5EF4-FFF2-40B4-BE49-F238E27FC236}">
                  <a16:creationId xmlns:a16="http://schemas.microsoft.com/office/drawing/2014/main" id="{00000000-0008-0000-0300-000016000000}"/>
                </a:ext>
              </a:extLst>
            </xdr:cNvPr>
            <xdr:cNvGraphicFramePr>
              <a:graphicFrameLocks/>
            </xdr:cNvGraphicFramePr>
          </xdr:nvGraphicFramePr>
          <xdr:xfrm>
            <a:off x="15209147" y="7606573"/>
            <a:ext cx="2378079" cy="1799324"/>
          </xdr:xfrm>
          <a:graphic>
            <a:graphicData uri="http://schemas.openxmlformats.org/drawingml/2006/chart">
              <c:chart xmlns:c="http://schemas.openxmlformats.org/drawingml/2006/chart" xmlns:r="http://schemas.openxmlformats.org/officeDocument/2006/relationships" r:id="rId8"/>
            </a:graphicData>
          </a:graphic>
        </xdr:graphicFrame>
      </xdr:grpSp>
    </xdr:grpSp>
    <xdr:clientData/>
  </xdr:twoCellAnchor>
  <xdr:twoCellAnchor>
    <xdr:from>
      <xdr:col>22</xdr:col>
      <xdr:colOff>934810</xdr:colOff>
      <xdr:row>53</xdr:row>
      <xdr:rowOff>3809</xdr:rowOff>
    </xdr:from>
    <xdr:to>
      <xdr:col>26</xdr:col>
      <xdr:colOff>244928</xdr:colOff>
      <xdr:row>67</xdr:row>
      <xdr:rowOff>149678</xdr:rowOff>
    </xdr:to>
    <xdr:graphicFrame macro="">
      <xdr:nvGraphicFramePr>
        <xdr:cNvPr id="27" name="Chart 26">
          <a:extLst>
            <a:ext uri="{FF2B5EF4-FFF2-40B4-BE49-F238E27FC236}">
              <a16:creationId xmlns:a16="http://schemas.microsoft.com/office/drawing/2014/main" id="{800F2A0E-21A4-42E4-9BC0-EDC2169EB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18</xdr:col>
      <xdr:colOff>416793</xdr:colOff>
      <xdr:row>11</xdr:row>
      <xdr:rowOff>204107</xdr:rowOff>
    </xdr:from>
    <xdr:to>
      <xdr:col>22</xdr:col>
      <xdr:colOff>1324078</xdr:colOff>
      <xdr:row>32</xdr:row>
      <xdr:rowOff>0</xdr:rowOff>
    </xdr:to>
    <xdr:graphicFrame macro="">
      <xdr:nvGraphicFramePr>
        <xdr:cNvPr id="21" name="Chart 20">
          <a:extLst>
            <a:ext uri="{FF2B5EF4-FFF2-40B4-BE49-F238E27FC236}">
              <a16:creationId xmlns:a16="http://schemas.microsoft.com/office/drawing/2014/main" id="{477E0EFA-2ED8-4BBC-9E4A-7F62D69827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97882</xdr:colOff>
      <xdr:row>16</xdr:row>
      <xdr:rowOff>3806</xdr:rowOff>
    </xdr:from>
    <xdr:to>
      <xdr:col>20</xdr:col>
      <xdr:colOff>1120268</xdr:colOff>
      <xdr:row>61</xdr:row>
      <xdr:rowOff>142722</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10311613" y="3418152"/>
          <a:ext cx="14574263" cy="9370839"/>
          <a:chOff x="10305751" y="2192160"/>
          <a:chExt cx="13050924" cy="4618216"/>
        </a:xfrm>
      </xdr:grpSpPr>
      <xdr:grpSp>
        <xdr:nvGrpSpPr>
          <xdr:cNvPr id="16" name="Group 15">
            <a:extLst>
              <a:ext uri="{FF2B5EF4-FFF2-40B4-BE49-F238E27FC236}">
                <a16:creationId xmlns:a16="http://schemas.microsoft.com/office/drawing/2014/main" id="{00000000-0008-0000-0400-000010000000}"/>
              </a:ext>
            </a:extLst>
          </xdr:cNvPr>
          <xdr:cNvGrpSpPr/>
        </xdr:nvGrpSpPr>
        <xdr:grpSpPr>
          <a:xfrm>
            <a:off x="10305751" y="4559517"/>
            <a:ext cx="13050924" cy="2250859"/>
            <a:chOff x="4632259" y="7190459"/>
            <a:chExt cx="13067079" cy="2185182"/>
          </a:xfrm>
        </xdr:grpSpPr>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4632259" y="7205586"/>
            <a:ext cx="3207230" cy="217005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7917726" y="7205586"/>
            <a:ext cx="3207922" cy="2162491"/>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11203124" y="7198023"/>
            <a:ext cx="3196168" cy="2154928"/>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1" name="Chart 10">
              <a:extLst>
                <a:ext uri="{FF2B5EF4-FFF2-40B4-BE49-F238E27FC236}">
                  <a16:creationId xmlns:a16="http://schemas.microsoft.com/office/drawing/2014/main" id="{00000000-0008-0000-0400-00000B000000}"/>
                </a:ext>
              </a:extLst>
            </xdr:cNvPr>
            <xdr:cNvGraphicFramePr>
              <a:graphicFrameLocks/>
            </xdr:cNvGraphicFramePr>
          </xdr:nvGraphicFramePr>
          <xdr:xfrm>
            <a:off x="14497638" y="7190459"/>
            <a:ext cx="3201700" cy="2170127"/>
          </xdr:xfrm>
          <a:graphic>
            <a:graphicData uri="http://schemas.openxmlformats.org/drawingml/2006/chart">
              <c:chart xmlns:c="http://schemas.openxmlformats.org/drawingml/2006/chart" xmlns:r="http://schemas.openxmlformats.org/officeDocument/2006/relationships" r:id="rId4"/>
            </a:graphicData>
          </a:graphic>
        </xdr:graphicFrame>
      </xdr:grpSp>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16875168" y="2205208"/>
          <a:ext cx="3184364" cy="2306813"/>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10325099" y="2209328"/>
          <a:ext cx="3184364" cy="2320416"/>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13591480" y="2209328"/>
          <a:ext cx="3186627" cy="2319346"/>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2" name="Chart 11">
            <a:extLst>
              <a:ext uri="{FF2B5EF4-FFF2-40B4-BE49-F238E27FC236}">
                <a16:creationId xmlns:a16="http://schemas.microsoft.com/office/drawing/2014/main" id="{00000000-0008-0000-0400-00000C000000}"/>
              </a:ext>
            </a:extLst>
          </xdr:cNvPr>
          <xdr:cNvGraphicFramePr>
            <a:graphicFrameLocks/>
          </xdr:cNvGraphicFramePr>
        </xdr:nvGraphicFramePr>
        <xdr:xfrm>
          <a:off x="20145666" y="2192160"/>
          <a:ext cx="3186627" cy="2319861"/>
        </xdr:xfrm>
        <a:graphic>
          <a:graphicData uri="http://schemas.openxmlformats.org/drawingml/2006/chart">
            <c:chart xmlns:c="http://schemas.openxmlformats.org/drawingml/2006/chart" xmlns:r="http://schemas.openxmlformats.org/officeDocument/2006/relationships" r:id="rId8"/>
          </a:graphicData>
        </a:graphic>
      </xdr:graphicFrame>
    </xdr:grpSp>
    <xdr:clientData/>
  </xdr:twoCellAnchor>
  <xdr:twoCellAnchor>
    <xdr:from>
      <xdr:col>1</xdr:col>
      <xdr:colOff>0</xdr:colOff>
      <xdr:row>143</xdr:row>
      <xdr:rowOff>124239</xdr:rowOff>
    </xdr:from>
    <xdr:to>
      <xdr:col>9</xdr:col>
      <xdr:colOff>255931</xdr:colOff>
      <xdr:row>171</xdr:row>
      <xdr:rowOff>65931</xdr:rowOff>
    </xdr:to>
    <xdr:grpSp>
      <xdr:nvGrpSpPr>
        <xdr:cNvPr id="13" name="Group 12">
          <a:extLst>
            <a:ext uri="{FF2B5EF4-FFF2-40B4-BE49-F238E27FC236}">
              <a16:creationId xmlns:a16="http://schemas.microsoft.com/office/drawing/2014/main" id="{00000000-0008-0000-0400-00000D000000}"/>
            </a:ext>
          </a:extLst>
        </xdr:cNvPr>
        <xdr:cNvGrpSpPr/>
      </xdr:nvGrpSpPr>
      <xdr:grpSpPr>
        <a:xfrm>
          <a:off x="424962" y="29754316"/>
          <a:ext cx="9780931" cy="5715307"/>
          <a:chOff x="9014240" y="8199783"/>
          <a:chExt cx="9600206" cy="6788647"/>
        </a:xfrm>
      </xdr:grpSpPr>
      <xdr:grpSp>
        <xdr:nvGrpSpPr>
          <xdr:cNvPr id="3" name="Group 2">
            <a:extLst>
              <a:ext uri="{FF2B5EF4-FFF2-40B4-BE49-F238E27FC236}">
                <a16:creationId xmlns:a16="http://schemas.microsoft.com/office/drawing/2014/main" id="{00000000-0008-0000-0400-000003000000}"/>
              </a:ext>
            </a:extLst>
          </xdr:cNvPr>
          <xdr:cNvGrpSpPr/>
        </xdr:nvGrpSpPr>
        <xdr:grpSpPr>
          <a:xfrm>
            <a:off x="9014240" y="8199783"/>
            <a:ext cx="9600204" cy="3340652"/>
            <a:chOff x="9014240" y="8199783"/>
            <a:chExt cx="9600204" cy="3340652"/>
          </a:xfrm>
        </xdr:grpSpPr>
        <xdr:graphicFrame macro="">
          <xdr:nvGraphicFramePr>
            <xdr:cNvPr id="17" name="Chart 16">
              <a:extLst>
                <a:ext uri="{FF2B5EF4-FFF2-40B4-BE49-F238E27FC236}">
                  <a16:creationId xmlns:a16="http://schemas.microsoft.com/office/drawing/2014/main" id="{00000000-0008-0000-0400-000011000000}"/>
                </a:ext>
              </a:extLst>
            </xdr:cNvPr>
            <xdr:cNvGraphicFramePr>
              <a:graphicFrameLocks noChangeAspect="1"/>
            </xdr:cNvGraphicFramePr>
          </xdr:nvGraphicFramePr>
          <xdr:xfrm>
            <a:off x="9014240" y="8199783"/>
            <a:ext cx="4754880" cy="334065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9" name="Chart 18">
              <a:extLst>
                <a:ext uri="{FF2B5EF4-FFF2-40B4-BE49-F238E27FC236}">
                  <a16:creationId xmlns:a16="http://schemas.microsoft.com/office/drawing/2014/main" id="{00000000-0008-0000-0400-000013000000}"/>
                </a:ext>
              </a:extLst>
            </xdr:cNvPr>
            <xdr:cNvGraphicFramePr>
              <a:graphicFrameLocks noChangeAspect="1"/>
            </xdr:cNvGraphicFramePr>
          </xdr:nvGraphicFramePr>
          <xdr:xfrm>
            <a:off x="13859564" y="8199783"/>
            <a:ext cx="4754880" cy="3337560"/>
          </xdr:xfrm>
          <a:graphic>
            <a:graphicData uri="http://schemas.openxmlformats.org/drawingml/2006/chart">
              <c:chart xmlns:c="http://schemas.openxmlformats.org/drawingml/2006/chart" xmlns:r="http://schemas.openxmlformats.org/officeDocument/2006/relationships" r:id="rId10"/>
            </a:graphicData>
          </a:graphic>
        </xdr:graphicFrame>
      </xdr:grpSp>
      <xdr:grpSp>
        <xdr:nvGrpSpPr>
          <xdr:cNvPr id="6" name="Group 5">
            <a:extLst>
              <a:ext uri="{FF2B5EF4-FFF2-40B4-BE49-F238E27FC236}">
                <a16:creationId xmlns:a16="http://schemas.microsoft.com/office/drawing/2014/main" id="{00000000-0008-0000-0400-000006000000}"/>
              </a:ext>
            </a:extLst>
          </xdr:cNvPr>
          <xdr:cNvGrpSpPr/>
        </xdr:nvGrpSpPr>
        <xdr:grpSpPr>
          <a:xfrm>
            <a:off x="9014240" y="11650870"/>
            <a:ext cx="9600206" cy="3337560"/>
            <a:chOff x="9014240" y="11650870"/>
            <a:chExt cx="9600206" cy="3337560"/>
          </a:xfrm>
        </xdr:grpSpPr>
        <xdr:graphicFrame macro="">
          <xdr:nvGraphicFramePr>
            <xdr:cNvPr id="20" name="Chart 19">
              <a:extLst>
                <a:ext uri="{FF2B5EF4-FFF2-40B4-BE49-F238E27FC236}">
                  <a16:creationId xmlns:a16="http://schemas.microsoft.com/office/drawing/2014/main" id="{00000000-0008-0000-0400-000014000000}"/>
                </a:ext>
              </a:extLst>
            </xdr:cNvPr>
            <xdr:cNvGraphicFramePr>
              <a:graphicFrameLocks noChangeAspect="1"/>
            </xdr:cNvGraphicFramePr>
          </xdr:nvGraphicFramePr>
          <xdr:xfrm>
            <a:off x="9014240" y="11650870"/>
            <a:ext cx="4754880" cy="3337560"/>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2" name="Chart 21">
              <a:extLst>
                <a:ext uri="{FF2B5EF4-FFF2-40B4-BE49-F238E27FC236}">
                  <a16:creationId xmlns:a16="http://schemas.microsoft.com/office/drawing/2014/main" id="{00000000-0008-0000-0400-000016000000}"/>
                </a:ext>
              </a:extLst>
            </xdr:cNvPr>
            <xdr:cNvGraphicFramePr>
              <a:graphicFrameLocks noChangeAspect="1"/>
            </xdr:cNvGraphicFramePr>
          </xdr:nvGraphicFramePr>
          <xdr:xfrm>
            <a:off x="13859566" y="11650870"/>
            <a:ext cx="4754880" cy="3337560"/>
          </xdr:xfrm>
          <a:graphic>
            <a:graphicData uri="http://schemas.openxmlformats.org/drawingml/2006/chart">
              <c:chart xmlns:c="http://schemas.openxmlformats.org/drawingml/2006/chart" xmlns:r="http://schemas.openxmlformats.org/officeDocument/2006/relationships" r:id="rId12"/>
            </a:graphicData>
          </a:graphic>
        </xdr:graphicFrame>
      </xdr:grpSp>
    </xdr:grpSp>
    <xdr:clientData/>
  </xdr:twoCellAnchor>
  <xdr:twoCellAnchor>
    <xdr:from>
      <xdr:col>12</xdr:col>
      <xdr:colOff>161564</xdr:colOff>
      <xdr:row>62</xdr:row>
      <xdr:rowOff>160648</xdr:rowOff>
    </xdr:from>
    <xdr:to>
      <xdr:col>19</xdr:col>
      <xdr:colOff>653143</xdr:colOff>
      <xdr:row>128</xdr:row>
      <xdr:rowOff>13607</xdr:rowOff>
    </xdr:to>
    <xdr:grpSp>
      <xdr:nvGrpSpPr>
        <xdr:cNvPr id="31" name="Group 30">
          <a:extLst>
            <a:ext uri="{FF2B5EF4-FFF2-40B4-BE49-F238E27FC236}">
              <a16:creationId xmlns:a16="http://schemas.microsoft.com/office/drawing/2014/main" id="{00000000-0008-0000-0400-00001F000000}"/>
            </a:ext>
          </a:extLst>
        </xdr:cNvPr>
        <xdr:cNvGrpSpPr/>
      </xdr:nvGrpSpPr>
      <xdr:grpSpPr>
        <a:xfrm>
          <a:off x="14331833" y="13012071"/>
          <a:ext cx="9826079" cy="13568959"/>
          <a:chOff x="8889996" y="8172173"/>
          <a:chExt cx="12522201" cy="10393901"/>
        </a:xfrm>
      </xdr:grpSpPr>
      <xdr:grpSp>
        <xdr:nvGrpSpPr>
          <xdr:cNvPr id="14" name="Group 13">
            <a:extLst>
              <a:ext uri="{FF2B5EF4-FFF2-40B4-BE49-F238E27FC236}">
                <a16:creationId xmlns:a16="http://schemas.microsoft.com/office/drawing/2014/main" id="{00000000-0008-0000-0400-00000E000000}"/>
              </a:ext>
            </a:extLst>
          </xdr:cNvPr>
          <xdr:cNvGrpSpPr/>
        </xdr:nvGrpSpPr>
        <xdr:grpSpPr>
          <a:xfrm>
            <a:off x="8889996" y="8172173"/>
            <a:ext cx="12520543" cy="5121414"/>
            <a:chOff x="8889999" y="8172173"/>
            <a:chExt cx="12520543" cy="5121414"/>
          </a:xfrm>
        </xdr:grpSpPr>
        <mc:AlternateContent xmlns:mc="http://schemas.openxmlformats.org/markup-compatibility/2006">
          <mc:Choice xmlns:cx1="http://schemas.microsoft.com/office/drawing/2015/9/8/chartex" Requires="cx1">
            <xdr:graphicFrame macro="">
              <xdr:nvGraphicFramePr>
                <xdr:cNvPr id="28" name="Chart 27">
                  <a:extLst>
                    <a:ext uri="{FF2B5EF4-FFF2-40B4-BE49-F238E27FC236}">
                      <a16:creationId xmlns:a16="http://schemas.microsoft.com/office/drawing/2014/main" id="{00000000-0008-0000-0400-00001C000000}"/>
                    </a:ext>
                  </a:extLst>
                </xdr:cNvPr>
                <xdr:cNvGraphicFramePr>
                  <a:graphicFrameLocks noChangeAspect="1"/>
                </xdr:cNvGraphicFramePr>
              </xdr:nvGraphicFramePr>
              <xdr:xfrm>
                <a:off x="8889999" y="8172173"/>
                <a:ext cx="6170544" cy="5121414"/>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8889999" y="8172173"/>
                  <a:ext cx="6170544" cy="5121414"/>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mc:AlternateContent xmlns:mc="http://schemas.openxmlformats.org/markup-compatibility/2006">
          <mc:Choice xmlns:cx1="http://schemas.microsoft.com/office/drawing/2015/9/8/chartex" Requires="cx1">
            <xdr:graphicFrame macro="">
              <xdr:nvGraphicFramePr>
                <xdr:cNvPr id="29" name="Chart 28">
                  <a:extLst>
                    <a:ext uri="{FF2B5EF4-FFF2-40B4-BE49-F238E27FC236}">
                      <a16:creationId xmlns:a16="http://schemas.microsoft.com/office/drawing/2014/main" id="{00000000-0008-0000-0400-00001D000000}"/>
                    </a:ext>
                  </a:extLst>
                </xdr:cNvPr>
                <xdr:cNvGraphicFramePr>
                  <a:graphicFrameLocks noChangeAspect="1"/>
                </xdr:cNvGraphicFramePr>
              </xdr:nvGraphicFramePr>
              <xdr:xfrm>
                <a:off x="15239999" y="8172173"/>
                <a:ext cx="6170543" cy="5121414"/>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15239999" y="8172173"/>
                  <a:ext cx="6170543" cy="5121414"/>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grpSp>
      <xdr:grpSp>
        <xdr:nvGrpSpPr>
          <xdr:cNvPr id="23" name="Group 22">
            <a:extLst>
              <a:ext uri="{FF2B5EF4-FFF2-40B4-BE49-F238E27FC236}">
                <a16:creationId xmlns:a16="http://schemas.microsoft.com/office/drawing/2014/main" id="{00000000-0008-0000-0400-000017000000}"/>
              </a:ext>
            </a:extLst>
          </xdr:cNvPr>
          <xdr:cNvGrpSpPr/>
        </xdr:nvGrpSpPr>
        <xdr:grpSpPr>
          <a:xfrm>
            <a:off x="8889996" y="13445434"/>
            <a:ext cx="12522201" cy="5120640"/>
            <a:chOff x="8889996" y="13445434"/>
            <a:chExt cx="12522201" cy="5120640"/>
          </a:xfrm>
        </xdr:grpSpPr>
        <mc:AlternateContent xmlns:mc="http://schemas.openxmlformats.org/markup-compatibility/2006">
          <mc:Choice xmlns:cx1="http://schemas.microsoft.com/office/drawing/2015/9/8/chartex" Requires="cx1">
            <xdr:graphicFrame macro="">
              <xdr:nvGraphicFramePr>
                <xdr:cNvPr id="26" name="Chart 25">
                  <a:extLst>
                    <a:ext uri="{FF2B5EF4-FFF2-40B4-BE49-F238E27FC236}">
                      <a16:creationId xmlns:a16="http://schemas.microsoft.com/office/drawing/2014/main" id="{00000000-0008-0000-0400-00001A000000}"/>
                    </a:ext>
                  </a:extLst>
                </xdr:cNvPr>
                <xdr:cNvGraphicFramePr>
                  <a:graphicFrameLocks noChangeAspect="1"/>
                </xdr:cNvGraphicFramePr>
              </xdr:nvGraphicFramePr>
              <xdr:xfrm>
                <a:off x="15239997" y="13445434"/>
                <a:ext cx="6172200" cy="5120640"/>
              </xdr:xfrm>
              <a:graphic>
                <a:graphicData uri="http://schemas.microsoft.com/office/drawing/2014/chartex">
                  <cx:chart xmlns:cx="http://schemas.microsoft.com/office/drawing/2014/chartex" xmlns:r="http://schemas.openxmlformats.org/officeDocument/2006/relationships" r:id="rId15"/>
                </a:graphicData>
              </a:graphic>
            </xdr:graphicFrame>
          </mc:Choice>
          <mc:Fallback>
            <xdr:sp macro="" textlink="">
              <xdr:nvSpPr>
                <xdr:cNvPr id="0" name=""/>
                <xdr:cNvSpPr>
                  <a:spLocks noTextEdit="1"/>
                </xdr:cNvSpPr>
              </xdr:nvSpPr>
              <xdr:spPr>
                <a:xfrm>
                  <a:off x="15239997" y="13445434"/>
                  <a:ext cx="6172200" cy="512064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mc:AlternateContent xmlns:mc="http://schemas.openxmlformats.org/markup-compatibility/2006">
          <mc:Choice xmlns:cx1="http://schemas.microsoft.com/office/drawing/2015/9/8/chartex" Requires="cx1">
            <xdr:graphicFrame macro="">
              <xdr:nvGraphicFramePr>
                <xdr:cNvPr id="30" name="Chart 29">
                  <a:extLst>
                    <a:ext uri="{FF2B5EF4-FFF2-40B4-BE49-F238E27FC236}">
                      <a16:creationId xmlns:a16="http://schemas.microsoft.com/office/drawing/2014/main" id="{00000000-0008-0000-0400-00001E000000}"/>
                    </a:ext>
                  </a:extLst>
                </xdr:cNvPr>
                <xdr:cNvGraphicFramePr>
                  <a:graphicFrameLocks noChangeAspect="1"/>
                </xdr:cNvGraphicFramePr>
              </xdr:nvGraphicFramePr>
              <xdr:xfrm>
                <a:off x="8889996" y="13445434"/>
                <a:ext cx="6172200" cy="5120640"/>
              </xdr:xfrm>
              <a:graphic>
                <a:graphicData uri="http://schemas.microsoft.com/office/drawing/2014/chartex">
                  <cx:chart xmlns:cx="http://schemas.microsoft.com/office/drawing/2014/chartex" xmlns:r="http://schemas.openxmlformats.org/officeDocument/2006/relationships" r:id="rId16"/>
                </a:graphicData>
              </a:graphic>
            </xdr:graphicFrame>
          </mc:Choice>
          <mc:Fallback>
            <xdr:sp macro="" textlink="">
              <xdr:nvSpPr>
                <xdr:cNvPr id="0" name=""/>
                <xdr:cNvSpPr>
                  <a:spLocks noTextEdit="1"/>
                </xdr:cNvSpPr>
              </xdr:nvSpPr>
              <xdr:spPr>
                <a:xfrm>
                  <a:off x="8889996" y="13445434"/>
                  <a:ext cx="6172200" cy="512064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grpSp>
    </xdr:grpSp>
    <xdr:clientData/>
  </xdr:twoCellAnchor>
  <xdr:oneCellAnchor>
    <xdr:from>
      <xdr:col>2</xdr:col>
      <xdr:colOff>13608</xdr:colOff>
      <xdr:row>0</xdr:row>
      <xdr:rowOff>0</xdr:rowOff>
    </xdr:from>
    <xdr:ext cx="8120743" cy="639018"/>
    <xdr:sp macro="" textlink="">
      <xdr:nvSpPr>
        <xdr:cNvPr id="25" name="Rectangle 17">
          <a:extLst>
            <a:ext uri="{FF2B5EF4-FFF2-40B4-BE49-F238E27FC236}">
              <a16:creationId xmlns:a16="http://schemas.microsoft.com/office/drawing/2014/main" id="{00000000-0008-0000-0400-000012000000}"/>
            </a:ext>
          </a:extLst>
        </xdr:cNvPr>
        <xdr:cNvSpPr/>
      </xdr:nvSpPr>
      <xdr:spPr>
        <a:xfrm>
          <a:off x="775608" y="0"/>
          <a:ext cx="8120743" cy="639018"/>
        </a:xfrm>
        <a:prstGeom prst="rect">
          <a:avLst/>
        </a:prstGeom>
        <a:solidFill>
          <a:schemeClr val="bg1"/>
        </a:solidFill>
      </xdr:spPr>
      <xdr:txBody>
        <a:bodyPr wrap="square" lIns="91440" tIns="45720" rIns="91440" bIns="45720">
          <a:noAutofit/>
        </a:bodyPr>
        <a:lstStyle/>
        <a:p>
          <a:pPr algn="ctr"/>
          <a:r>
            <a:rPr lang="en-US" sz="4400" b="0" cap="none" spc="0">
              <a:ln w="0"/>
              <a:solidFill>
                <a:schemeClr val="accent1"/>
              </a:solidFill>
              <a:effectLst>
                <a:outerShdw blurRad="38100" dist="25400" dir="5400000" algn="ctr" rotWithShape="0">
                  <a:srgbClr val="6E747A">
                    <a:alpha val="43000"/>
                  </a:srgbClr>
                </a:outerShdw>
              </a:effectLst>
            </a:rPr>
            <a:t>Azure Stack Hub Capacity Planner</a:t>
          </a:r>
        </a:p>
      </xdr:txBody>
    </xdr:sp>
    <xdr:clientData/>
  </xdr:oneCellAnchor>
  <xdr:twoCellAnchor>
    <xdr:from>
      <xdr:col>21</xdr:col>
      <xdr:colOff>25944</xdr:colOff>
      <xdr:row>39</xdr:row>
      <xdr:rowOff>55880</xdr:rowOff>
    </xdr:from>
    <xdr:to>
      <xdr:col>26</xdr:col>
      <xdr:colOff>2630</xdr:colOff>
      <xdr:row>61</xdr:row>
      <xdr:rowOff>111125</xdr:rowOff>
    </xdr:to>
    <xdr:graphicFrame macro="">
      <xdr:nvGraphicFramePr>
        <xdr:cNvPr id="37" name="Chart 36">
          <a:extLst>
            <a:ext uri="{FF2B5EF4-FFF2-40B4-BE49-F238E27FC236}">
              <a16:creationId xmlns:a16="http://schemas.microsoft.com/office/drawing/2014/main" id="{79DB702F-83EA-45EE-AD75-A17918344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2720</xdr:colOff>
      <xdr:row>16</xdr:row>
      <xdr:rowOff>2720</xdr:rowOff>
    </xdr:from>
    <xdr:to>
      <xdr:col>25</xdr:col>
      <xdr:colOff>783772</xdr:colOff>
      <xdr:row>38</xdr:row>
      <xdr:rowOff>163286</xdr:rowOff>
    </xdr:to>
    <xdr:graphicFrame macro="">
      <xdr:nvGraphicFramePr>
        <xdr:cNvPr id="34" name="Chart 33">
          <a:extLst>
            <a:ext uri="{FF2B5EF4-FFF2-40B4-BE49-F238E27FC236}">
              <a16:creationId xmlns:a16="http://schemas.microsoft.com/office/drawing/2014/main" id="{DE75E7B7-F168-4614-BE11-0C3B7C0F9C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576263</xdr:colOff>
      <xdr:row>2</xdr:row>
      <xdr:rowOff>28575</xdr:rowOff>
    </xdr:from>
    <xdr:to>
      <xdr:col>11</xdr:col>
      <xdr:colOff>95251</xdr:colOff>
      <xdr:row>18</xdr:row>
      <xdr:rowOff>161925</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576262</xdr:colOff>
      <xdr:row>24</xdr:row>
      <xdr:rowOff>114300</xdr:rowOff>
    </xdr:from>
    <xdr:to>
      <xdr:col>11</xdr:col>
      <xdr:colOff>28575</xdr:colOff>
      <xdr:row>40</xdr:row>
      <xdr:rowOff>114300</xdr:rowOff>
    </xdr:to>
    <xdr:graphicFrame macro="">
      <xdr:nvGraphicFramePr>
        <xdr:cNvPr id="4" name="Chart 3">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600075</xdr:colOff>
      <xdr:row>2</xdr:row>
      <xdr:rowOff>4761</xdr:rowOff>
    </xdr:from>
    <xdr:to>
      <xdr:col>20</xdr:col>
      <xdr:colOff>1219200</xdr:colOff>
      <xdr:row>18</xdr:row>
      <xdr:rowOff>104774</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604838</xdr:colOff>
      <xdr:row>19</xdr:row>
      <xdr:rowOff>14287</xdr:rowOff>
    </xdr:from>
    <xdr:to>
      <xdr:col>21</xdr:col>
      <xdr:colOff>1</xdr:colOff>
      <xdr:row>34</xdr:row>
      <xdr:rowOff>90487</xdr:rowOff>
    </xdr:to>
    <xdr:graphicFrame macro="">
      <xdr:nvGraphicFramePr>
        <xdr:cNvPr id="5" name="Chart 4">
          <a:extLst>
            <a:ext uri="{FF2B5EF4-FFF2-40B4-BE49-F238E27FC236}">
              <a16:creationId xmlns:a16="http://schemas.microsoft.com/office/drawing/2014/main" id="{00000000-0008-0000-0C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538162</xdr:colOff>
      <xdr:row>9</xdr:row>
      <xdr:rowOff>57149</xdr:rowOff>
    </xdr:from>
    <xdr:to>
      <xdr:col>5</xdr:col>
      <xdr:colOff>123825</xdr:colOff>
      <xdr:row>17</xdr:row>
      <xdr:rowOff>128586</xdr:rowOff>
    </xdr:to>
    <xdr:graphicFrame macro="">
      <xdr:nvGraphicFramePr>
        <xdr:cNvPr id="6" name="Chart 5">
          <a:extLst>
            <a:ext uri="{FF2B5EF4-FFF2-40B4-BE49-F238E27FC236}">
              <a16:creationId xmlns:a16="http://schemas.microsoft.com/office/drawing/2014/main" id="{00000000-0008-0000-0C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514350</xdr:colOff>
      <xdr:row>27</xdr:row>
      <xdr:rowOff>19049</xdr:rowOff>
    </xdr:from>
    <xdr:to>
      <xdr:col>5</xdr:col>
      <xdr:colOff>447675</xdr:colOff>
      <xdr:row>38</xdr:row>
      <xdr:rowOff>142874</xdr:rowOff>
    </xdr:to>
    <xdr:graphicFrame macro="">
      <xdr:nvGraphicFramePr>
        <xdr:cNvPr id="7" name="Chart 6">
          <a:extLst>
            <a:ext uri="{FF2B5EF4-FFF2-40B4-BE49-F238E27FC236}">
              <a16:creationId xmlns:a16="http://schemas.microsoft.com/office/drawing/2014/main" id="{00000000-0008-0000-0C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504825</xdr:colOff>
      <xdr:row>9</xdr:row>
      <xdr:rowOff>114299</xdr:rowOff>
    </xdr:from>
    <xdr:to>
      <xdr:col>16</xdr:col>
      <xdr:colOff>333375</xdr:colOff>
      <xdr:row>17</xdr:row>
      <xdr:rowOff>180975</xdr:rowOff>
    </xdr:to>
    <xdr:graphicFrame macro="">
      <xdr:nvGraphicFramePr>
        <xdr:cNvPr id="8" name="Chart 7">
          <a:extLst>
            <a:ext uri="{FF2B5EF4-FFF2-40B4-BE49-F238E27FC236}">
              <a16:creationId xmlns:a16="http://schemas.microsoft.com/office/drawing/2014/main" id="{00000000-0008-0000-0C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604837</xdr:colOff>
      <xdr:row>27</xdr:row>
      <xdr:rowOff>152400</xdr:rowOff>
    </xdr:from>
    <xdr:to>
      <xdr:col>16</xdr:col>
      <xdr:colOff>457200</xdr:colOff>
      <xdr:row>38</xdr:row>
      <xdr:rowOff>76200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581025</xdr:colOff>
      <xdr:row>42</xdr:row>
      <xdr:rowOff>185737</xdr:rowOff>
    </xdr:from>
    <xdr:to>
      <xdr:col>13</xdr:col>
      <xdr:colOff>47625</xdr:colOff>
      <xdr:row>57</xdr:row>
      <xdr:rowOff>71437</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5562600" y="8196262"/>
              <a:ext cx="3009900" cy="27432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13</xdr:col>
      <xdr:colOff>376237</xdr:colOff>
      <xdr:row>57</xdr:row>
      <xdr:rowOff>128587</xdr:rowOff>
    </xdr:from>
    <xdr:to>
      <xdr:col>19</xdr:col>
      <xdr:colOff>133350</xdr:colOff>
      <xdr:row>72</xdr:row>
      <xdr:rowOff>14287</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8901112" y="10996612"/>
              <a:ext cx="3548063" cy="27432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561975</xdr:colOff>
      <xdr:row>57</xdr:row>
      <xdr:rowOff>157162</xdr:rowOff>
    </xdr:from>
    <xdr:to>
      <xdr:col>13</xdr:col>
      <xdr:colOff>76200</xdr:colOff>
      <xdr:row>72</xdr:row>
      <xdr:rowOff>42862</xdr:rowOff>
    </xdr:to>
    <mc:AlternateContent xmlns:mc="http://schemas.openxmlformats.org/markup-compatibility/2006">
      <mc:Choice xmlns:cx1="http://schemas.microsoft.com/office/drawing/2015/9/8/chartex" Requires="cx1">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5543550" y="11025187"/>
              <a:ext cx="3057525" cy="27432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13</xdr:col>
      <xdr:colOff>390525</xdr:colOff>
      <xdr:row>42</xdr:row>
      <xdr:rowOff>33337</xdr:rowOff>
    </xdr:from>
    <xdr:to>
      <xdr:col>19</xdr:col>
      <xdr:colOff>238125</xdr:colOff>
      <xdr:row>56</xdr:row>
      <xdr:rowOff>109537</xdr:rowOff>
    </xdr:to>
    <mc:AlternateContent xmlns:mc="http://schemas.openxmlformats.org/markup-compatibility/2006">
      <mc:Choice xmlns:cx1="http://schemas.microsoft.com/office/drawing/2015/9/8/chartex" Requires="cx1">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8915400" y="8043862"/>
              <a:ext cx="3638550" cy="27432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22</xdr:col>
      <xdr:colOff>381000</xdr:colOff>
      <xdr:row>32</xdr:row>
      <xdr:rowOff>180975</xdr:rowOff>
    </xdr:from>
    <xdr:to>
      <xdr:col>29</xdr:col>
      <xdr:colOff>104775</xdr:colOff>
      <xdr:row>45</xdr:row>
      <xdr:rowOff>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22</xdr:col>
      <xdr:colOff>385761</xdr:colOff>
      <xdr:row>45</xdr:row>
      <xdr:rowOff>190499</xdr:rowOff>
    </xdr:from>
    <xdr:to>
      <xdr:col>29</xdr:col>
      <xdr:colOff>352424</xdr:colOff>
      <xdr:row>55</xdr:row>
      <xdr:rowOff>180974</xdr:rowOff>
    </xdr:to>
    <xdr:graphicFrame macro="">
      <xdr:nvGraphicFramePr>
        <xdr:cNvPr id="16" name="Chart 15">
          <a:extLst>
            <a:ext uri="{FF2B5EF4-FFF2-40B4-BE49-F238E27FC236}">
              <a16:creationId xmlns:a16="http://schemas.microsoft.com/office/drawing/2014/main" id="{00000000-0008-0000-0C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22</xdr:col>
      <xdr:colOff>366712</xdr:colOff>
      <xdr:row>57</xdr:row>
      <xdr:rowOff>4762</xdr:rowOff>
    </xdr:from>
    <xdr:to>
      <xdr:col>30</xdr:col>
      <xdr:colOff>61912</xdr:colOff>
      <xdr:row>67</xdr:row>
      <xdr:rowOff>152400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22</xdr:col>
      <xdr:colOff>466725</xdr:colOff>
      <xdr:row>68</xdr:row>
      <xdr:rowOff>128587</xdr:rowOff>
    </xdr:from>
    <xdr:to>
      <xdr:col>30</xdr:col>
      <xdr:colOff>161925</xdr:colOff>
      <xdr:row>80</xdr:row>
      <xdr:rowOff>123825</xdr:rowOff>
    </xdr:to>
    <xdr:graphicFrame macro="">
      <xdr:nvGraphicFramePr>
        <xdr:cNvPr id="18" name="Chart 17">
          <a:extLst>
            <a:ext uri="{FF2B5EF4-FFF2-40B4-BE49-F238E27FC236}">
              <a16:creationId xmlns:a16="http://schemas.microsoft.com/office/drawing/2014/main" id="{00000000-0008-0000-0C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5</xdr:col>
      <xdr:colOff>295277</xdr:colOff>
      <xdr:row>84</xdr:row>
      <xdr:rowOff>42861</xdr:rowOff>
    </xdr:from>
    <xdr:to>
      <xdr:col>10</xdr:col>
      <xdr:colOff>590551</xdr:colOff>
      <xdr:row>102</xdr:row>
      <xdr:rowOff>171450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404812</xdr:colOff>
      <xdr:row>92</xdr:row>
      <xdr:rowOff>138112</xdr:rowOff>
    </xdr:from>
    <xdr:to>
      <xdr:col>4</xdr:col>
      <xdr:colOff>628650</xdr:colOff>
      <xdr:row>107</xdr:row>
      <xdr:rowOff>23812</xdr:rowOff>
    </xdr:to>
    <xdr:graphicFrame macro="">
      <xdr:nvGraphicFramePr>
        <xdr:cNvPr id="19" name="Chart 18">
          <a:extLst>
            <a:ext uri="{FF2B5EF4-FFF2-40B4-BE49-F238E27FC236}">
              <a16:creationId xmlns:a16="http://schemas.microsoft.com/office/drawing/2014/main" id="{00000000-0008-0000-0C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17</xdr:col>
      <xdr:colOff>333375</xdr:colOff>
      <xdr:row>85</xdr:row>
      <xdr:rowOff>138112</xdr:rowOff>
    </xdr:from>
    <xdr:to>
      <xdr:col>21</xdr:col>
      <xdr:colOff>409575</xdr:colOff>
      <xdr:row>103</xdr:row>
      <xdr:rowOff>171450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11</xdr:col>
      <xdr:colOff>266700</xdr:colOff>
      <xdr:row>95</xdr:row>
      <xdr:rowOff>23812</xdr:rowOff>
    </xdr:from>
    <xdr:to>
      <xdr:col>17</xdr:col>
      <xdr:colOff>9525</xdr:colOff>
      <xdr:row>109</xdr:row>
      <xdr:rowOff>100012</xdr:rowOff>
    </xdr:to>
    <xdr:graphicFrame macro="">
      <xdr:nvGraphicFramePr>
        <xdr:cNvPr id="21" name="Chart 20">
          <a:extLst>
            <a:ext uri="{FF2B5EF4-FFF2-40B4-BE49-F238E27FC236}">
              <a16:creationId xmlns:a16="http://schemas.microsoft.com/office/drawing/2014/main" id="{00000000-0008-0000-0C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5</xdr:col>
      <xdr:colOff>342900</xdr:colOff>
      <xdr:row>108</xdr:row>
      <xdr:rowOff>147637</xdr:rowOff>
    </xdr:from>
    <xdr:to>
      <xdr:col>10</xdr:col>
      <xdr:colOff>523875</xdr:colOff>
      <xdr:row>124</xdr:row>
      <xdr:rowOff>33337</xdr:rowOff>
    </xdr:to>
    <xdr:graphicFrame macro="">
      <xdr:nvGraphicFramePr>
        <xdr:cNvPr id="22" name="Chart 21">
          <a:extLst>
            <a:ext uri="{FF2B5EF4-FFF2-40B4-BE49-F238E27FC236}">
              <a16:creationId xmlns:a16="http://schemas.microsoft.com/office/drawing/2014/main" id="{00000000-0008-0000-0C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0</xdr:colOff>
      <xdr:row>119</xdr:row>
      <xdr:rowOff>161924</xdr:rowOff>
    </xdr:from>
    <xdr:to>
      <xdr:col>4</xdr:col>
      <xdr:colOff>247650</xdr:colOff>
      <xdr:row>130</xdr:row>
      <xdr:rowOff>171449</xdr:rowOff>
    </xdr:to>
    <xdr:graphicFrame macro="">
      <xdr:nvGraphicFramePr>
        <xdr:cNvPr id="23" name="Chart 22">
          <a:extLst>
            <a:ext uri="{FF2B5EF4-FFF2-40B4-BE49-F238E27FC236}">
              <a16:creationId xmlns:a16="http://schemas.microsoft.com/office/drawing/2014/main" id="{00000000-0008-0000-0C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17</xdr:col>
      <xdr:colOff>228599</xdr:colOff>
      <xdr:row>109</xdr:row>
      <xdr:rowOff>157162</xdr:rowOff>
    </xdr:from>
    <xdr:to>
      <xdr:col>21</xdr:col>
      <xdr:colOff>423861</xdr:colOff>
      <xdr:row>125</xdr:row>
      <xdr:rowOff>42862</xdr:rowOff>
    </xdr:to>
    <xdr:graphicFrame macro="">
      <xdr:nvGraphicFramePr>
        <xdr:cNvPr id="24" name="Chart 23">
          <a:extLst>
            <a:ext uri="{FF2B5EF4-FFF2-40B4-BE49-F238E27FC236}">
              <a16:creationId xmlns:a16="http://schemas.microsoft.com/office/drawing/2014/main" id="{00000000-0008-0000-0C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11</xdr:col>
      <xdr:colOff>347662</xdr:colOff>
      <xdr:row>120</xdr:row>
      <xdr:rowOff>61912</xdr:rowOff>
    </xdr:from>
    <xdr:to>
      <xdr:col>16</xdr:col>
      <xdr:colOff>342900</xdr:colOff>
      <xdr:row>132</xdr:row>
      <xdr:rowOff>47625</xdr:rowOff>
    </xdr:to>
    <xdr:graphicFrame macro="">
      <xdr:nvGraphicFramePr>
        <xdr:cNvPr id="25" name="Chart 24">
          <a:extLst>
            <a:ext uri="{FF2B5EF4-FFF2-40B4-BE49-F238E27FC236}">
              <a16:creationId xmlns:a16="http://schemas.microsoft.com/office/drawing/2014/main" id="{00000000-0008-0000-0C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5</xdr:col>
      <xdr:colOff>276225</xdr:colOff>
      <xdr:row>183</xdr:row>
      <xdr:rowOff>185737</xdr:rowOff>
    </xdr:from>
    <xdr:to>
      <xdr:col>10</xdr:col>
      <xdr:colOff>342900</xdr:colOff>
      <xdr:row>199</xdr:row>
      <xdr:rowOff>71437</xdr:rowOff>
    </xdr:to>
    <xdr:graphicFrame macro="">
      <xdr:nvGraphicFramePr>
        <xdr:cNvPr id="26" name="Chart 25">
          <a:extLst>
            <a:ext uri="{FF2B5EF4-FFF2-40B4-BE49-F238E27FC236}">
              <a16:creationId xmlns:a16="http://schemas.microsoft.com/office/drawing/2014/main" id="{00000000-0008-0000-0C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xdr:col>
      <xdr:colOff>9525</xdr:colOff>
      <xdr:row>194</xdr:row>
      <xdr:rowOff>9525</xdr:rowOff>
    </xdr:from>
    <xdr:to>
      <xdr:col>4</xdr:col>
      <xdr:colOff>752476</xdr:colOff>
      <xdr:row>206</xdr:row>
      <xdr:rowOff>14287</xdr:rowOff>
    </xdr:to>
    <xdr:graphicFrame macro="">
      <xdr:nvGraphicFramePr>
        <xdr:cNvPr id="27" name="Chart 26">
          <a:extLst>
            <a:ext uri="{FF2B5EF4-FFF2-40B4-BE49-F238E27FC236}">
              <a16:creationId xmlns:a16="http://schemas.microsoft.com/office/drawing/2014/main" id="{00000000-0008-0000-0C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16</xdr:col>
      <xdr:colOff>200025</xdr:colOff>
      <xdr:row>184</xdr:row>
      <xdr:rowOff>23812</xdr:rowOff>
    </xdr:from>
    <xdr:to>
      <xdr:col>20</xdr:col>
      <xdr:colOff>1028701</xdr:colOff>
      <xdr:row>199</xdr:row>
      <xdr:rowOff>100012</xdr:rowOff>
    </xdr:to>
    <xdr:graphicFrame macro="">
      <xdr:nvGraphicFramePr>
        <xdr:cNvPr id="28" name="Chart 27">
          <a:extLst>
            <a:ext uri="{FF2B5EF4-FFF2-40B4-BE49-F238E27FC236}">
              <a16:creationId xmlns:a16="http://schemas.microsoft.com/office/drawing/2014/main" id="{00000000-0008-0000-0C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11</xdr:col>
      <xdr:colOff>85725</xdr:colOff>
      <xdr:row>193</xdr:row>
      <xdr:rowOff>53339</xdr:rowOff>
    </xdr:from>
    <xdr:to>
      <xdr:col>16</xdr:col>
      <xdr:colOff>95250</xdr:colOff>
      <xdr:row>207</xdr:row>
      <xdr:rowOff>48576</xdr:rowOff>
    </xdr:to>
    <xdr:graphicFrame macro="">
      <xdr:nvGraphicFramePr>
        <xdr:cNvPr id="29" name="Chart 28">
          <a:extLst>
            <a:ext uri="{FF2B5EF4-FFF2-40B4-BE49-F238E27FC236}">
              <a16:creationId xmlns:a16="http://schemas.microsoft.com/office/drawing/2014/main" id="{00000000-0008-0000-0C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5</xdr:col>
      <xdr:colOff>485775</xdr:colOff>
      <xdr:row>204</xdr:row>
      <xdr:rowOff>85724</xdr:rowOff>
    </xdr:from>
    <xdr:to>
      <xdr:col>11</xdr:col>
      <xdr:colOff>47625</xdr:colOff>
      <xdr:row>218</xdr:row>
      <xdr:rowOff>119061</xdr:rowOff>
    </xdr:to>
    <xdr:graphicFrame macro="">
      <xdr:nvGraphicFramePr>
        <xdr:cNvPr id="30" name="Chart 29">
          <a:extLst>
            <a:ext uri="{FF2B5EF4-FFF2-40B4-BE49-F238E27FC236}">
              <a16:creationId xmlns:a16="http://schemas.microsoft.com/office/drawing/2014/main" id="{00000000-0008-0000-0C00-00001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0</xdr:col>
      <xdr:colOff>581025</xdr:colOff>
      <xdr:row>217</xdr:row>
      <xdr:rowOff>0</xdr:rowOff>
    </xdr:from>
    <xdr:to>
      <xdr:col>4</xdr:col>
      <xdr:colOff>485775</xdr:colOff>
      <xdr:row>228</xdr:row>
      <xdr:rowOff>23812</xdr:rowOff>
    </xdr:to>
    <xdr:graphicFrame macro="">
      <xdr:nvGraphicFramePr>
        <xdr:cNvPr id="31" name="Chart 30">
          <a:extLst>
            <a:ext uri="{FF2B5EF4-FFF2-40B4-BE49-F238E27FC236}">
              <a16:creationId xmlns:a16="http://schemas.microsoft.com/office/drawing/2014/main" id="{00000000-0008-0000-0C00-00001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16</xdr:col>
      <xdr:colOff>485775</xdr:colOff>
      <xdr:row>202</xdr:row>
      <xdr:rowOff>42862</xdr:rowOff>
    </xdr:from>
    <xdr:to>
      <xdr:col>22</xdr:col>
      <xdr:colOff>285750</xdr:colOff>
      <xdr:row>217</xdr:row>
      <xdr:rowOff>119062</xdr:rowOff>
    </xdr:to>
    <xdr:graphicFrame macro="">
      <xdr:nvGraphicFramePr>
        <xdr:cNvPr id="32" name="Chart 31">
          <a:extLst>
            <a:ext uri="{FF2B5EF4-FFF2-40B4-BE49-F238E27FC236}">
              <a16:creationId xmlns:a16="http://schemas.microsoft.com/office/drawing/2014/main" id="{00000000-0008-0000-0C00-00002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11</xdr:col>
      <xdr:colOff>276225</xdr:colOff>
      <xdr:row>216</xdr:row>
      <xdr:rowOff>161924</xdr:rowOff>
    </xdr:from>
    <xdr:to>
      <xdr:col>16</xdr:col>
      <xdr:colOff>0</xdr:colOff>
      <xdr:row>227</xdr:row>
      <xdr:rowOff>80961</xdr:rowOff>
    </xdr:to>
    <xdr:graphicFrame macro="">
      <xdr:nvGraphicFramePr>
        <xdr:cNvPr id="33" name="Chart 32">
          <a:extLst>
            <a:ext uri="{FF2B5EF4-FFF2-40B4-BE49-F238E27FC236}">
              <a16:creationId xmlns:a16="http://schemas.microsoft.com/office/drawing/2014/main" id="{00000000-0008-0000-0C00-00002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9</xdr:col>
      <xdr:colOff>4762</xdr:colOff>
      <xdr:row>132</xdr:row>
      <xdr:rowOff>142875</xdr:rowOff>
    </xdr:from>
    <xdr:to>
      <xdr:col>14</xdr:col>
      <xdr:colOff>247650</xdr:colOff>
      <xdr:row>143</xdr:row>
      <xdr:rowOff>180975</xdr:rowOff>
    </xdr:to>
    <xdr:graphicFrame macro="">
      <xdr:nvGraphicFramePr>
        <xdr:cNvPr id="34" name="Chart 33">
          <a:extLst>
            <a:ext uri="{FF2B5EF4-FFF2-40B4-BE49-F238E27FC236}">
              <a16:creationId xmlns:a16="http://schemas.microsoft.com/office/drawing/2014/main" id="{00000000-0008-0000-0C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9</xdr:col>
      <xdr:colOff>23812</xdr:colOff>
      <xdr:row>146</xdr:row>
      <xdr:rowOff>9525</xdr:rowOff>
    </xdr:from>
    <xdr:to>
      <xdr:col>14</xdr:col>
      <xdr:colOff>247650</xdr:colOff>
      <xdr:row>156</xdr:row>
      <xdr:rowOff>180975</xdr:rowOff>
    </xdr:to>
    <xdr:graphicFrame macro="">
      <xdr:nvGraphicFramePr>
        <xdr:cNvPr id="36" name="Chart 35">
          <a:extLst>
            <a:ext uri="{FF2B5EF4-FFF2-40B4-BE49-F238E27FC236}">
              <a16:creationId xmlns:a16="http://schemas.microsoft.com/office/drawing/2014/main" id="{00000000-0008-0000-0C00-00002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14</xdr:col>
      <xdr:colOff>671512</xdr:colOff>
      <xdr:row>132</xdr:row>
      <xdr:rowOff>171450</xdr:rowOff>
    </xdr:from>
    <xdr:to>
      <xdr:col>20</xdr:col>
      <xdr:colOff>781050</xdr:colOff>
      <xdr:row>144</xdr:row>
      <xdr:rowOff>161925</xdr:rowOff>
    </xdr:to>
    <xdr:graphicFrame macro="">
      <xdr:nvGraphicFramePr>
        <xdr:cNvPr id="37" name="Chart 36">
          <a:extLst>
            <a:ext uri="{FF2B5EF4-FFF2-40B4-BE49-F238E27FC236}">
              <a16:creationId xmlns:a16="http://schemas.microsoft.com/office/drawing/2014/main" id="{00000000-0008-0000-0C00-00002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14</xdr:col>
      <xdr:colOff>490537</xdr:colOff>
      <xdr:row>145</xdr:row>
      <xdr:rowOff>190499</xdr:rowOff>
    </xdr:from>
    <xdr:to>
      <xdr:col>20</xdr:col>
      <xdr:colOff>533400</xdr:colOff>
      <xdr:row>156</xdr:row>
      <xdr:rowOff>57150</xdr:rowOff>
    </xdr:to>
    <xdr:graphicFrame macro="">
      <xdr:nvGraphicFramePr>
        <xdr:cNvPr id="38" name="Chart 37">
          <a:extLst>
            <a:ext uri="{FF2B5EF4-FFF2-40B4-BE49-F238E27FC236}">
              <a16:creationId xmlns:a16="http://schemas.microsoft.com/office/drawing/2014/main" id="{00000000-0008-0000-0C00-00002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20</xdr:col>
      <xdr:colOff>1014412</xdr:colOff>
      <xdr:row>132</xdr:row>
      <xdr:rowOff>180974</xdr:rowOff>
    </xdr:from>
    <xdr:to>
      <xdr:col>26</xdr:col>
      <xdr:colOff>276225</xdr:colOff>
      <xdr:row>147</xdr:row>
      <xdr:rowOff>19049</xdr:rowOff>
    </xdr:to>
    <mc:AlternateContent xmlns:mc="http://schemas.openxmlformats.org/markup-compatibility/2006">
      <mc:Choice xmlns:cx1="http://schemas.microsoft.com/office/drawing/2015/9/8/chartex" Requires="cx1">
        <xdr:graphicFrame macro="">
          <xdr:nvGraphicFramePr>
            <xdr:cNvPr id="40" name="Chart 39">
              <a:extLst>
                <a:ext uri="{FF2B5EF4-FFF2-40B4-BE49-F238E27FC236}">
                  <a16:creationId xmlns:a16="http://schemas.microsoft.com/office/drawing/2014/main" id="{00000000-0008-0000-0C00-00002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7"/>
            </a:graphicData>
          </a:graphic>
        </xdr:graphicFrame>
      </mc:Choice>
      <mc:Fallback>
        <xdr:sp macro="" textlink="">
          <xdr:nvSpPr>
            <xdr:cNvPr id="0" name=""/>
            <xdr:cNvSpPr>
              <a:spLocks noTextEdit="1"/>
            </xdr:cNvSpPr>
          </xdr:nvSpPr>
          <xdr:spPr>
            <a:xfrm>
              <a:off x="13920787" y="25336499"/>
              <a:ext cx="3729038" cy="2695575"/>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20</xdr:col>
      <xdr:colOff>1066800</xdr:colOff>
      <xdr:row>147</xdr:row>
      <xdr:rowOff>185737</xdr:rowOff>
    </xdr:from>
    <xdr:to>
      <xdr:col>26</xdr:col>
      <xdr:colOff>409575</xdr:colOff>
      <xdr:row>162</xdr:row>
      <xdr:rowOff>90487</xdr:rowOff>
    </xdr:to>
    <mc:AlternateContent xmlns:mc="http://schemas.openxmlformats.org/markup-compatibility/2006">
      <mc:Choice xmlns:cx1="http://schemas.microsoft.com/office/drawing/2015/9/8/chartex" Requires="cx1">
        <xdr:graphicFrame macro="">
          <xdr:nvGraphicFramePr>
            <xdr:cNvPr id="41" name="Chart 40">
              <a:extLst>
                <a:ext uri="{FF2B5EF4-FFF2-40B4-BE49-F238E27FC236}">
                  <a16:creationId xmlns:a16="http://schemas.microsoft.com/office/drawing/2014/main" id="{00000000-0008-0000-0C00-00002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8"/>
            </a:graphicData>
          </a:graphic>
        </xdr:graphicFrame>
      </mc:Choice>
      <mc:Fallback>
        <xdr:sp macro="" textlink="">
          <xdr:nvSpPr>
            <xdr:cNvPr id="0" name=""/>
            <xdr:cNvSpPr>
              <a:spLocks noTextEdit="1"/>
            </xdr:cNvSpPr>
          </xdr:nvSpPr>
          <xdr:spPr>
            <a:xfrm>
              <a:off x="13973175" y="28198762"/>
              <a:ext cx="3810000" cy="27432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638175</xdr:colOff>
      <xdr:row>157</xdr:row>
      <xdr:rowOff>100012</xdr:rowOff>
    </xdr:from>
    <xdr:to>
      <xdr:col>20</xdr:col>
      <xdr:colOff>828675</xdr:colOff>
      <xdr:row>172</xdr:row>
      <xdr:rowOff>4762</xdr:rowOff>
    </xdr:to>
    <mc:AlternateContent xmlns:mc="http://schemas.openxmlformats.org/markup-compatibility/2006">
      <mc:Choice xmlns:cx1="http://schemas.microsoft.com/office/drawing/2015/9/8/chartex" Requires="cx1">
        <xdr:graphicFrame macro="">
          <xdr:nvGraphicFramePr>
            <xdr:cNvPr id="42" name="Chart 41">
              <a:extLst>
                <a:ext uri="{FF2B5EF4-FFF2-40B4-BE49-F238E27FC236}">
                  <a16:creationId xmlns:a16="http://schemas.microsoft.com/office/drawing/2014/main" id="{00000000-0008-0000-0C00-00002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9"/>
            </a:graphicData>
          </a:graphic>
        </xdr:graphicFrame>
      </mc:Choice>
      <mc:Fallback>
        <xdr:sp macro="" textlink="">
          <xdr:nvSpPr>
            <xdr:cNvPr id="0" name=""/>
            <xdr:cNvSpPr>
              <a:spLocks noTextEdit="1"/>
            </xdr:cNvSpPr>
          </xdr:nvSpPr>
          <xdr:spPr>
            <a:xfrm>
              <a:off x="10458450" y="30018037"/>
              <a:ext cx="3276600" cy="27432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85725</xdr:colOff>
      <xdr:row>144</xdr:row>
      <xdr:rowOff>185737</xdr:rowOff>
    </xdr:from>
    <xdr:to>
      <xdr:col>5</xdr:col>
      <xdr:colOff>485775</xdr:colOff>
      <xdr:row>159</xdr:row>
      <xdr:rowOff>90487</xdr:rowOff>
    </xdr:to>
    <mc:AlternateContent xmlns:mc="http://schemas.openxmlformats.org/markup-compatibility/2006">
      <mc:Choice xmlns:cx1="http://schemas.microsoft.com/office/drawing/2015/9/8/chartex" Requires="cx1">
        <xdr:graphicFrame macro="">
          <xdr:nvGraphicFramePr>
            <xdr:cNvPr id="43" name="Chart 42">
              <a:extLst>
                <a:ext uri="{FF2B5EF4-FFF2-40B4-BE49-F238E27FC236}">
                  <a16:creationId xmlns:a16="http://schemas.microsoft.com/office/drawing/2014/main" id="{00000000-0008-0000-0C00-00002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0"/>
            </a:graphicData>
          </a:graphic>
        </xdr:graphicFrame>
      </mc:Choice>
      <mc:Fallback>
        <xdr:sp macro="" textlink="">
          <xdr:nvSpPr>
            <xdr:cNvPr id="0" name=""/>
            <xdr:cNvSpPr>
              <a:spLocks noTextEdit="1"/>
            </xdr:cNvSpPr>
          </xdr:nvSpPr>
          <xdr:spPr>
            <a:xfrm>
              <a:off x="676275" y="27627262"/>
              <a:ext cx="3609975" cy="27432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27</xdr:col>
      <xdr:colOff>0</xdr:colOff>
      <xdr:row>184</xdr:row>
      <xdr:rowOff>0</xdr:rowOff>
    </xdr:from>
    <xdr:to>
      <xdr:col>32</xdr:col>
      <xdr:colOff>219076</xdr:colOff>
      <xdr:row>199</xdr:row>
      <xdr:rowOff>76200</xdr:rowOff>
    </xdr:to>
    <xdr:graphicFrame macro="">
      <xdr:nvGraphicFramePr>
        <xdr:cNvPr id="44" name="Chart 43">
          <a:extLst>
            <a:ext uri="{FF2B5EF4-FFF2-40B4-BE49-F238E27FC236}">
              <a16:creationId xmlns:a16="http://schemas.microsoft.com/office/drawing/2014/main" id="{12C21053-C44D-47F9-B840-A5CFCEEED2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27</xdr:col>
      <xdr:colOff>0</xdr:colOff>
      <xdr:row>202</xdr:row>
      <xdr:rowOff>0</xdr:rowOff>
    </xdr:from>
    <xdr:to>
      <xdr:col>32</xdr:col>
      <xdr:colOff>271992</xdr:colOff>
      <xdr:row>215</xdr:row>
      <xdr:rowOff>181503</xdr:rowOff>
    </xdr:to>
    <xdr:graphicFrame macro="">
      <xdr:nvGraphicFramePr>
        <xdr:cNvPr id="45" name="Chart 44">
          <a:extLst>
            <a:ext uri="{FF2B5EF4-FFF2-40B4-BE49-F238E27FC236}">
              <a16:creationId xmlns:a16="http://schemas.microsoft.com/office/drawing/2014/main" id="{1CCF9796-5FC2-41E7-B295-A4216BDDB6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26</xdr:col>
      <xdr:colOff>231321</xdr:colOff>
      <xdr:row>118</xdr:row>
      <xdr:rowOff>68036</xdr:rowOff>
    </xdr:from>
    <xdr:to>
      <xdr:col>31</xdr:col>
      <xdr:colOff>479380</xdr:colOff>
      <xdr:row>130</xdr:row>
      <xdr:rowOff>63273</xdr:rowOff>
    </xdr:to>
    <xdr:graphicFrame macro="">
      <xdr:nvGraphicFramePr>
        <xdr:cNvPr id="47" name="Chart 46">
          <a:extLst>
            <a:ext uri="{FF2B5EF4-FFF2-40B4-BE49-F238E27FC236}">
              <a16:creationId xmlns:a16="http://schemas.microsoft.com/office/drawing/2014/main" id="{F3E31BA4-C0F2-433C-8EFB-6FAEEBB1C3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26</xdr:col>
      <xdr:colOff>206829</xdr:colOff>
      <xdr:row>103</xdr:row>
      <xdr:rowOff>0</xdr:rowOff>
    </xdr:from>
    <xdr:to>
      <xdr:col>31</xdr:col>
      <xdr:colOff>435429</xdr:colOff>
      <xdr:row>118</xdr:row>
      <xdr:rowOff>43542</xdr:rowOff>
    </xdr:to>
    <xdr:graphicFrame macro="">
      <xdr:nvGraphicFramePr>
        <xdr:cNvPr id="48" name="Chart 47">
          <a:extLst>
            <a:ext uri="{FF2B5EF4-FFF2-40B4-BE49-F238E27FC236}">
              <a16:creationId xmlns:a16="http://schemas.microsoft.com/office/drawing/2014/main" id="{61B5C356-91BC-4C80-A8F5-B808B9A9AC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wsDr>
</file>

<file path=xl/drawings/drawing5.xml><?xml version="1.0" encoding="utf-8"?>
<xdr:wsDr xmlns:xdr="http://schemas.openxmlformats.org/drawingml/2006/spreadsheetDrawing" xmlns:a="http://schemas.openxmlformats.org/drawingml/2006/main">
  <xdr:oneCellAnchor>
    <xdr:from>
      <xdr:col>2</xdr:col>
      <xdr:colOff>0</xdr:colOff>
      <xdr:row>0</xdr:row>
      <xdr:rowOff>0</xdr:rowOff>
    </xdr:from>
    <xdr:ext cx="3848489" cy="436786"/>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1219200" y="0"/>
          <a:ext cx="3848489" cy="436786"/>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none" rtlCol="0" anchor="t">
          <a:spAutoFit/>
        </a:bodyPr>
        <a:lstStyle/>
        <a:p>
          <a:r>
            <a:rPr lang="en-US" sz="1100"/>
            <a:t>This sheet</a:t>
          </a:r>
          <a:r>
            <a:rPr lang="en-US" sz="1100" baseline="0"/>
            <a:t> contains validator &amp; support material for the models.</a:t>
          </a:r>
        </a:p>
        <a:p>
          <a:r>
            <a:rPr lang="en-US" sz="1100" baseline="0"/>
            <a:t>There is no editable content here.</a:t>
          </a:r>
          <a:endParaRPr lang="en-US"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Table66" displayName="Table66" ref="B44:G69" totalsRowShown="0">
  <autoFilter ref="B44:G69" xr:uid="{00000000-0009-0000-0100-000005000000}"/>
  <tableColumns count="6">
    <tableColumn id="1" xr3:uid="{00000000-0010-0000-0200-000001000000}" name="Workload Type"/>
    <tableColumn id="2" xr3:uid="{00000000-0010-0000-0200-000002000000}" name="Workload" dataDxfId="8"/>
    <tableColumn id="4" xr3:uid="{00000000-0010-0000-0200-000004000000}" name="Memory" dataDxfId="7"/>
    <tableColumn id="5" xr3:uid="{00000000-0010-0000-0200-000005000000}" name="Temp Storage" dataDxfId="6"/>
    <tableColumn id="6" xr3:uid="{00000000-0010-0000-0200-000006000000}" name="Disk" dataDxfId="5"/>
    <tableColumn id="3" xr3:uid="{00000000-0010-0000-0200-000003000000}" name="CPU Cores" dataDxfId="4"/>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A14" totalsRowShown="0" dataDxfId="3">
  <autoFilter ref="A1:A14" xr:uid="{00000000-0009-0000-0100-000002000000}">
    <filterColumn colId="0" hiddenButton="1"/>
  </autoFilter>
  <tableColumns count="1">
    <tableColumn id="1" xr3:uid="{00000000-0010-0000-0100-000001000000}" name="ComputeStorageScaleUnitSize"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learn.microsoft.com/azure-stack/operator/azure-stack-capacity-plann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docs.microsoft.com/azure/azure-stack/user/azure-stack-vm-sizes" TargetMode="External"/><Relationship Id="rId13" Type="http://schemas.openxmlformats.org/officeDocument/2006/relationships/hyperlink" Target="https://docs.microsoft.com/azure/azure-stack/user/azure-stack-vm-sizes" TargetMode="External"/><Relationship Id="rId18" Type="http://schemas.openxmlformats.org/officeDocument/2006/relationships/hyperlink" Target="https://learn.microsoft.com/azure-stack/user/gpu-vms-about" TargetMode="External"/><Relationship Id="rId3" Type="http://schemas.openxmlformats.org/officeDocument/2006/relationships/hyperlink" Target="https://docs.microsoft.com/azure/azure-stack/user/azure-stack-vm-sizes" TargetMode="External"/><Relationship Id="rId21" Type="http://schemas.openxmlformats.org/officeDocument/2006/relationships/hyperlink" Target="https://learn.microsoft.com/azure-stack/user/gpu-vms-about" TargetMode="External"/><Relationship Id="rId7" Type="http://schemas.openxmlformats.org/officeDocument/2006/relationships/hyperlink" Target="https://docs.microsoft.com/azure/azure-stack/user/azure-stack-vm-sizes" TargetMode="External"/><Relationship Id="rId12" Type="http://schemas.openxmlformats.org/officeDocument/2006/relationships/hyperlink" Target="https://docs.microsoft.com/azure/azure-stack/user/azure-stack-vm-sizes" TargetMode="External"/><Relationship Id="rId17" Type="http://schemas.openxmlformats.org/officeDocument/2006/relationships/hyperlink" Target="https://learn.microsoft.com/azure-stack/user/gpu-vms-about" TargetMode="External"/><Relationship Id="rId2" Type="http://schemas.openxmlformats.org/officeDocument/2006/relationships/hyperlink" Target="https://docs.microsoft.com/azure/azure-stack/user/azure-stack-vm-sizes" TargetMode="External"/><Relationship Id="rId16" Type="http://schemas.openxmlformats.org/officeDocument/2006/relationships/hyperlink" Target="https://learn.microsoft.com/azure-stack/user/gpu-vms-about" TargetMode="External"/><Relationship Id="rId20" Type="http://schemas.openxmlformats.org/officeDocument/2006/relationships/hyperlink" Target="https://learn.microsoft.com/azure-stack/operator/azure-stack-capacity-planning-compute" TargetMode="External"/><Relationship Id="rId1" Type="http://schemas.openxmlformats.org/officeDocument/2006/relationships/hyperlink" Target="https://docs.microsoft.com/azure/azure-stack/user/azure-stack-vm-sizes" TargetMode="External"/><Relationship Id="rId6" Type="http://schemas.openxmlformats.org/officeDocument/2006/relationships/hyperlink" Target="https://docs.microsoft.com/azure/azure-stack/user/azure-stack-vm-sizes" TargetMode="External"/><Relationship Id="rId11" Type="http://schemas.openxmlformats.org/officeDocument/2006/relationships/hyperlink" Target="https://docs.microsoft.com/azure/azure-stack/user/azure-stack-vm-sizes" TargetMode="External"/><Relationship Id="rId5" Type="http://schemas.openxmlformats.org/officeDocument/2006/relationships/hyperlink" Target="https://docs.microsoft.com/azure/azure-stack/user/azure-stack-vm-sizes" TargetMode="External"/><Relationship Id="rId15" Type="http://schemas.openxmlformats.org/officeDocument/2006/relationships/hyperlink" Target="https://docs.microsoft.com/en-us/azure/azure-stack/azure-stack-update-1901" TargetMode="External"/><Relationship Id="rId23" Type="http://schemas.openxmlformats.org/officeDocument/2006/relationships/drawing" Target="../drawings/drawing2.xml"/><Relationship Id="rId10" Type="http://schemas.openxmlformats.org/officeDocument/2006/relationships/hyperlink" Target="https://docs.microsoft.com/azure/azure-stack/user/azure-stack-vm-sizes" TargetMode="External"/><Relationship Id="rId19" Type="http://schemas.openxmlformats.org/officeDocument/2006/relationships/hyperlink" Target="https://learn.microsoft.com/azure-stack/operator/azure-stack-capacity-planning-compute" TargetMode="External"/><Relationship Id="rId4" Type="http://schemas.openxmlformats.org/officeDocument/2006/relationships/hyperlink" Target="https://docs.microsoft.com/azure/azure-stack/user/azure-stack-vm-sizes" TargetMode="External"/><Relationship Id="rId9" Type="http://schemas.openxmlformats.org/officeDocument/2006/relationships/hyperlink" Target="https://docs.microsoft.com/azure/azure-stack/user/azure-stack-vm-sizes" TargetMode="External"/><Relationship Id="rId14" Type="http://schemas.openxmlformats.org/officeDocument/2006/relationships/hyperlink" Target="https://docs.microsoft.com/azure/azure-stack/user/azure-stack-vm-sizes" TargetMode="External"/><Relationship Id="rId22"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hyperlink" Target="https://docs.microsoft.com/azure/azure-stack/user/azure-stack-vm-sizes" TargetMode="External"/><Relationship Id="rId7" Type="http://schemas.openxmlformats.org/officeDocument/2006/relationships/drawing" Target="../drawings/drawing3.xml"/><Relationship Id="rId2" Type="http://schemas.openxmlformats.org/officeDocument/2006/relationships/hyperlink" Target="https://docs.microsoft.com/azure/azure-stack/user/azure-stack-vm-sizes" TargetMode="External"/><Relationship Id="rId1" Type="http://schemas.openxmlformats.org/officeDocument/2006/relationships/hyperlink" Target="https://docs.microsoft.com/azure/azure-stack/user/azure-stack-vm-sizes" TargetMode="External"/><Relationship Id="rId6" Type="http://schemas.openxmlformats.org/officeDocument/2006/relationships/printerSettings" Target="../printerSettings/printerSettings5.bin"/><Relationship Id="rId5" Type="http://schemas.openxmlformats.org/officeDocument/2006/relationships/hyperlink" Target="https://learn.microsoft.com/azure-stack/operator/azure-stack-capacity-planning-compute" TargetMode="External"/><Relationship Id="rId4" Type="http://schemas.openxmlformats.org/officeDocument/2006/relationships/hyperlink" Target="https://learn.microsoft.com/azure-stack/operator/azure-stack-capacity-planning-compute"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hyperlink" Target="http://google.com/" TargetMode="External"/><Relationship Id="rId2" Type="http://schemas.openxmlformats.org/officeDocument/2006/relationships/hyperlink" Target="https://docs.microsoft.com/azure/azure-stack/user/azure-stack-vm-sizes" TargetMode="External"/><Relationship Id="rId1" Type="http://schemas.openxmlformats.org/officeDocument/2006/relationships/hyperlink" Target="https://docs.microsoft.com/azure/azure-stack/user/azure-stack-vm-sizes" TargetMode="External"/><Relationship Id="rId5" Type="http://schemas.openxmlformats.org/officeDocument/2006/relationships/printerSettings" Target="../printerSettings/printerSettings10.bin"/><Relationship Id="rId4" Type="http://schemas.openxmlformats.org/officeDocument/2006/relationships/hyperlink" Target="https://docs.microsoft.com/azure/azure-stack/user/azure-stack-vm-sizes"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S15"/>
  <sheetViews>
    <sheetView tabSelected="1" workbookViewId="0"/>
  </sheetViews>
  <sheetFormatPr defaultColWidth="8.85546875" defaultRowHeight="15" x14ac:dyDescent="0.25"/>
  <sheetData>
    <row r="15" spans="19:19" ht="26.25" x14ac:dyDescent="0.4">
      <c r="S15" s="214"/>
    </row>
  </sheetData>
  <pageMargins left="0.7" right="0.7" top="0.75" bottom="0.75" header="0.3" footer="0.3"/>
  <pageSetup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2:L71"/>
  <sheetViews>
    <sheetView zoomScaleNormal="100" workbookViewId="0"/>
  </sheetViews>
  <sheetFormatPr defaultColWidth="8.85546875" defaultRowHeight="15" x14ac:dyDescent="0.25"/>
  <cols>
    <col min="1" max="1" width="4.5703125" customWidth="1"/>
    <col min="2" max="2" width="3.42578125" customWidth="1"/>
    <col min="3" max="3" width="27.5703125" customWidth="1"/>
    <col min="4" max="4" width="80.85546875" customWidth="1"/>
    <col min="8" max="8" width="10.5703125" customWidth="1"/>
  </cols>
  <sheetData>
    <row r="2" spans="2:7" ht="18.75" x14ac:dyDescent="0.3">
      <c r="C2" s="294" t="s">
        <v>735</v>
      </c>
      <c r="D2" s="293" t="s">
        <v>719</v>
      </c>
    </row>
    <row r="3" spans="2:7" x14ac:dyDescent="0.25">
      <c r="B3" s="570"/>
      <c r="C3" s="570"/>
      <c r="D3" s="570"/>
    </row>
    <row r="4" spans="2:7" x14ac:dyDescent="0.25">
      <c r="B4" s="571" t="s">
        <v>0</v>
      </c>
      <c r="C4" s="572"/>
      <c r="D4" s="573"/>
    </row>
    <row r="5" spans="2:7" x14ac:dyDescent="0.25">
      <c r="B5" s="574"/>
      <c r="C5" s="575"/>
      <c r="D5" s="576"/>
    </row>
    <row r="6" spans="2:7" ht="70.5" customHeight="1" x14ac:dyDescent="0.25">
      <c r="B6" s="577" t="s">
        <v>716</v>
      </c>
      <c r="C6" s="578"/>
      <c r="D6" s="579"/>
    </row>
    <row r="7" spans="2:7" ht="18" customHeight="1" thickBot="1" x14ac:dyDescent="0.3">
      <c r="B7" s="110"/>
      <c r="C7" s="110"/>
      <c r="D7" s="110"/>
    </row>
    <row r="8" spans="2:7" ht="49.5" customHeight="1" thickBot="1" x14ac:dyDescent="0.3">
      <c r="B8" s="545" t="s">
        <v>702</v>
      </c>
      <c r="C8" s="546"/>
      <c r="D8" s="547"/>
    </row>
    <row r="9" spans="2:7" ht="18" customHeight="1" x14ac:dyDescent="0.25">
      <c r="B9" s="110"/>
      <c r="C9" s="110"/>
      <c r="D9" s="110"/>
    </row>
    <row r="10" spans="2:7" ht="15.75" customHeight="1" x14ac:dyDescent="0.25">
      <c r="B10" s="105"/>
      <c r="C10" s="106" t="s">
        <v>1</v>
      </c>
      <c r="D10" s="106"/>
    </row>
    <row r="11" spans="2:7" ht="16.350000000000001" customHeight="1" x14ac:dyDescent="0.25">
      <c r="B11" s="75"/>
      <c r="C11" s="107" t="s">
        <v>2</v>
      </c>
      <c r="D11" s="583" t="s">
        <v>3</v>
      </c>
      <c r="E11" s="75"/>
      <c r="F11" s="75"/>
    </row>
    <row r="12" spans="2:7" ht="15.75" x14ac:dyDescent="0.25">
      <c r="B12" s="75"/>
      <c r="C12" s="107"/>
      <c r="D12" s="584"/>
      <c r="E12" s="75"/>
      <c r="F12" s="75"/>
    </row>
    <row r="13" spans="2:7" ht="15.75" x14ac:dyDescent="0.25">
      <c r="B13" s="75"/>
      <c r="C13" s="107"/>
      <c r="D13" s="585"/>
      <c r="E13" s="75"/>
      <c r="F13" s="75"/>
    </row>
    <row r="14" spans="2:7" ht="15.75" x14ac:dyDescent="0.25">
      <c r="B14" s="75"/>
      <c r="C14" s="117"/>
      <c r="D14" s="202"/>
      <c r="E14" s="75"/>
      <c r="F14" s="75"/>
    </row>
    <row r="15" spans="2:7" ht="15.75" x14ac:dyDescent="0.25">
      <c r="B15" s="563" t="s">
        <v>4</v>
      </c>
      <c r="C15" s="564"/>
      <c r="D15" s="565"/>
    </row>
    <row r="16" spans="2:7" ht="50.1" customHeight="1" x14ac:dyDescent="0.25">
      <c r="B16" s="566" t="s">
        <v>717</v>
      </c>
      <c r="C16" s="567"/>
      <c r="D16" s="568"/>
      <c r="G16" s="203"/>
    </row>
    <row r="18" spans="2:6" ht="15.75" x14ac:dyDescent="0.25">
      <c r="B18" s="580" t="s">
        <v>5</v>
      </c>
      <c r="C18" s="581"/>
      <c r="D18" s="582"/>
      <c r="E18" s="75"/>
    </row>
    <row r="19" spans="2:6" ht="117.75" customHeight="1" x14ac:dyDescent="0.25">
      <c r="B19" s="548" t="s">
        <v>718</v>
      </c>
      <c r="C19" s="549"/>
      <c r="D19" s="550"/>
      <c r="E19" s="75"/>
    </row>
    <row r="20" spans="2:6" ht="15" customHeight="1" x14ac:dyDescent="0.25">
      <c r="B20" s="97"/>
      <c r="C20" s="96"/>
      <c r="D20" s="98"/>
      <c r="E20" s="75"/>
    </row>
    <row r="21" spans="2:6" ht="16.5" customHeight="1" x14ac:dyDescent="0.25">
      <c r="B21" s="114" t="s">
        <v>6</v>
      </c>
      <c r="C21" s="551" t="s">
        <v>7</v>
      </c>
      <c r="D21" s="552"/>
      <c r="E21" s="75"/>
    </row>
    <row r="22" spans="2:6" ht="15.75" x14ac:dyDescent="0.25">
      <c r="B22" s="99"/>
      <c r="C22" s="551"/>
      <c r="D22" s="552"/>
      <c r="E22" s="75"/>
    </row>
    <row r="23" spans="2:6" ht="15.75" x14ac:dyDescent="0.25">
      <c r="B23" s="100" t="s">
        <v>8</v>
      </c>
      <c r="C23" s="553" t="s">
        <v>9</v>
      </c>
      <c r="D23" s="554"/>
      <c r="E23" s="75"/>
      <c r="F23" s="75"/>
    </row>
    <row r="24" spans="2:6" ht="15.75" x14ac:dyDescent="0.25">
      <c r="B24" s="101"/>
      <c r="C24" s="553"/>
      <c r="D24" s="554"/>
      <c r="E24" s="75"/>
      <c r="F24" s="75"/>
    </row>
    <row r="25" spans="2:6" ht="15.75" x14ac:dyDescent="0.25">
      <c r="B25" s="101"/>
      <c r="C25" s="204"/>
      <c r="D25" s="205"/>
      <c r="E25" s="75"/>
      <c r="F25" s="75"/>
    </row>
    <row r="26" spans="2:6" ht="96.75" customHeight="1" x14ac:dyDescent="0.25">
      <c r="B26" s="555" t="s">
        <v>10</v>
      </c>
      <c r="C26" s="556"/>
      <c r="D26" s="557"/>
      <c r="E26" s="75"/>
      <c r="F26" s="75"/>
    </row>
    <row r="27" spans="2:6" ht="15.75" customHeight="1" x14ac:dyDescent="0.25">
      <c r="B27" s="204"/>
      <c r="C27" s="111"/>
      <c r="D27" s="111"/>
      <c r="E27" s="75"/>
      <c r="F27" s="75"/>
    </row>
    <row r="28" spans="2:6" ht="15.75" x14ac:dyDescent="0.25">
      <c r="B28" s="95"/>
      <c r="C28" s="106" t="s">
        <v>1</v>
      </c>
      <c r="D28" s="106" t="s">
        <v>11</v>
      </c>
      <c r="E28" s="75"/>
      <c r="F28" s="75"/>
    </row>
    <row r="29" spans="2:6" ht="15.75" x14ac:dyDescent="0.25">
      <c r="B29" s="95"/>
      <c r="C29" s="107" t="s">
        <v>12</v>
      </c>
      <c r="D29" s="17" t="s">
        <v>13</v>
      </c>
      <c r="E29" s="75"/>
      <c r="F29" s="75"/>
    </row>
    <row r="30" spans="2:6" ht="15.75" x14ac:dyDescent="0.25">
      <c r="B30" s="558" t="s">
        <v>14</v>
      </c>
      <c r="C30" s="559"/>
      <c r="D30" s="559"/>
      <c r="E30" s="75"/>
      <c r="F30" s="75"/>
    </row>
    <row r="31" spans="2:6" ht="31.5" customHeight="1" x14ac:dyDescent="0.25">
      <c r="B31" s="560" t="s">
        <v>15</v>
      </c>
      <c r="C31" s="561"/>
      <c r="D31" s="562"/>
      <c r="E31" s="75"/>
      <c r="F31" s="75"/>
    </row>
    <row r="32" spans="2:6" ht="15.75" x14ac:dyDescent="0.25">
      <c r="B32" s="99"/>
      <c r="C32" s="102"/>
      <c r="D32" s="104"/>
      <c r="E32" s="75"/>
      <c r="F32" s="75"/>
    </row>
    <row r="33" spans="2:9" ht="64.5" customHeight="1" x14ac:dyDescent="0.25">
      <c r="B33" s="103" t="s">
        <v>6</v>
      </c>
      <c r="C33" s="541" t="s">
        <v>16</v>
      </c>
      <c r="D33" s="542"/>
      <c r="E33" s="75"/>
      <c r="F33" s="75"/>
    </row>
    <row r="34" spans="2:9" ht="46.5" customHeight="1" x14ac:dyDescent="0.25">
      <c r="B34" s="103" t="s">
        <v>8</v>
      </c>
      <c r="C34" s="541" t="s">
        <v>17</v>
      </c>
      <c r="D34" s="542"/>
      <c r="E34" s="75"/>
      <c r="F34" s="75"/>
    </row>
    <row r="35" spans="2:9" ht="35.25" customHeight="1" x14ac:dyDescent="0.25">
      <c r="B35" s="103" t="s">
        <v>18</v>
      </c>
      <c r="C35" s="541" t="s">
        <v>19</v>
      </c>
      <c r="D35" s="542"/>
      <c r="E35" s="75"/>
      <c r="F35" s="75"/>
    </row>
    <row r="36" spans="2:9" ht="84.75" customHeight="1" x14ac:dyDescent="0.25">
      <c r="B36" s="103"/>
      <c r="C36" s="541" t="s">
        <v>20</v>
      </c>
      <c r="D36" s="542"/>
      <c r="E36" s="75"/>
      <c r="F36" s="75"/>
    </row>
    <row r="37" spans="2:9" ht="62.1" customHeight="1" x14ac:dyDescent="0.25">
      <c r="B37" s="103"/>
      <c r="C37" s="541" t="s">
        <v>21</v>
      </c>
      <c r="D37" s="542"/>
      <c r="E37" s="75"/>
      <c r="F37" s="75"/>
    </row>
    <row r="38" spans="2:9" ht="78" customHeight="1" x14ac:dyDescent="0.25">
      <c r="B38" s="115" t="s">
        <v>22</v>
      </c>
      <c r="C38" s="541" t="s">
        <v>23</v>
      </c>
      <c r="D38" s="542"/>
      <c r="E38" s="75"/>
      <c r="F38" s="75"/>
    </row>
    <row r="39" spans="2:9" ht="78" customHeight="1" x14ac:dyDescent="0.25">
      <c r="B39" s="115">
        <v>5</v>
      </c>
      <c r="C39" s="541" t="s">
        <v>24</v>
      </c>
      <c r="D39" s="542"/>
      <c r="E39" s="196"/>
      <c r="F39" s="196"/>
      <c r="G39" s="196"/>
      <c r="H39" s="196"/>
      <c r="I39" s="196"/>
    </row>
    <row r="40" spans="2:9" ht="63" customHeight="1" x14ac:dyDescent="0.25">
      <c r="B40" s="116">
        <v>6</v>
      </c>
      <c r="C40" s="587" t="s">
        <v>25</v>
      </c>
      <c r="D40" s="588"/>
      <c r="E40" s="75"/>
      <c r="F40" s="75"/>
    </row>
    <row r="42" spans="2:9" ht="15.75" x14ac:dyDescent="0.25">
      <c r="B42" s="44"/>
      <c r="C42" s="106" t="s">
        <v>1</v>
      </c>
      <c r="D42" s="106" t="s">
        <v>11</v>
      </c>
    </row>
    <row r="43" spans="2:9" x14ac:dyDescent="0.25">
      <c r="B43" s="44"/>
      <c r="C43" s="108" t="s">
        <v>26</v>
      </c>
      <c r="D43" s="17" t="s">
        <v>27</v>
      </c>
    </row>
    <row r="44" spans="2:9" ht="15.75" x14ac:dyDescent="0.25">
      <c r="B44" s="558" t="s">
        <v>28</v>
      </c>
      <c r="C44" s="559"/>
      <c r="D44" s="559"/>
      <c r="E44" s="75"/>
      <c r="F44" s="75"/>
    </row>
    <row r="45" spans="2:9" ht="68.45" customHeight="1" x14ac:dyDescent="0.25">
      <c r="B45" s="589" t="s">
        <v>29</v>
      </c>
      <c r="C45" s="590"/>
      <c r="D45" s="591"/>
      <c r="E45" s="75"/>
      <c r="F45" s="75"/>
    </row>
    <row r="46" spans="2:9" ht="15.75" x14ac:dyDescent="0.25">
      <c r="B46" s="100"/>
      <c r="C46" s="102"/>
      <c r="D46" s="104"/>
      <c r="E46" s="75"/>
      <c r="F46" s="75"/>
    </row>
    <row r="47" spans="2:9" ht="31.5" customHeight="1" x14ac:dyDescent="0.25">
      <c r="B47" s="115" t="s">
        <v>6</v>
      </c>
      <c r="C47" s="541" t="s">
        <v>30</v>
      </c>
      <c r="D47" s="586"/>
      <c r="E47" s="75"/>
      <c r="F47" s="75"/>
    </row>
    <row r="48" spans="2:9" ht="47.25" customHeight="1" x14ac:dyDescent="0.25">
      <c r="B48" s="115" t="s">
        <v>8</v>
      </c>
      <c r="C48" s="541" t="s">
        <v>17</v>
      </c>
      <c r="D48" s="542"/>
      <c r="E48" s="75"/>
      <c r="F48" s="75"/>
    </row>
    <row r="49" spans="2:12" ht="50.1" customHeight="1" x14ac:dyDescent="0.25">
      <c r="B49" s="115" t="s">
        <v>18</v>
      </c>
      <c r="C49" s="541" t="s">
        <v>31</v>
      </c>
      <c r="D49" s="542"/>
      <c r="E49" s="75"/>
      <c r="F49" s="75"/>
    </row>
    <row r="50" spans="2:12" ht="117.75" customHeight="1" x14ac:dyDescent="0.25">
      <c r="B50" s="115" t="s">
        <v>22</v>
      </c>
      <c r="C50" s="541" t="s">
        <v>32</v>
      </c>
      <c r="D50" s="586"/>
      <c r="E50" s="75"/>
      <c r="F50" s="75"/>
      <c r="G50" s="569"/>
      <c r="H50" s="569"/>
      <c r="I50" s="569"/>
      <c r="J50" s="569"/>
      <c r="K50" s="569"/>
      <c r="L50" s="569"/>
    </row>
    <row r="51" spans="2:12" ht="118.35" customHeight="1" x14ac:dyDescent="0.25">
      <c r="B51" s="115" t="s">
        <v>33</v>
      </c>
      <c r="C51" s="541" t="s">
        <v>32</v>
      </c>
      <c r="D51" s="542"/>
      <c r="E51" s="75"/>
      <c r="F51" s="75"/>
    </row>
    <row r="52" spans="2:12" ht="59.1" customHeight="1" x14ac:dyDescent="0.25">
      <c r="B52" s="115">
        <v>6</v>
      </c>
      <c r="C52" s="541" t="s">
        <v>34</v>
      </c>
      <c r="D52" s="542"/>
      <c r="E52" s="75"/>
      <c r="F52" s="75"/>
    </row>
    <row r="53" spans="2:12" ht="55.5" customHeight="1" x14ac:dyDescent="0.25">
      <c r="B53" s="115">
        <v>7</v>
      </c>
      <c r="C53" s="541" t="s">
        <v>35</v>
      </c>
      <c r="D53" s="542"/>
      <c r="E53" s="75"/>
      <c r="F53" s="75"/>
    </row>
    <row r="54" spans="2:12" ht="66.75" customHeight="1" x14ac:dyDescent="0.25">
      <c r="B54" s="206">
        <v>8</v>
      </c>
      <c r="C54" s="541" t="s">
        <v>36</v>
      </c>
      <c r="D54" s="542"/>
      <c r="E54" s="75"/>
      <c r="F54" s="75"/>
    </row>
    <row r="55" spans="2:12" ht="29.25" customHeight="1" x14ac:dyDescent="0.25">
      <c r="B55" s="207">
        <v>9</v>
      </c>
      <c r="C55" s="543" t="s">
        <v>37</v>
      </c>
      <c r="D55" s="544"/>
      <c r="E55" s="75"/>
      <c r="F55" s="75"/>
    </row>
    <row r="67" spans="2:2" x14ac:dyDescent="0.25">
      <c r="B67" s="44"/>
    </row>
    <row r="71" spans="2:2" x14ac:dyDescent="0.25">
      <c r="B71" s="44"/>
    </row>
  </sheetData>
  <mergeCells count="34">
    <mergeCell ref="G50:L50"/>
    <mergeCell ref="C39:D39"/>
    <mergeCell ref="C52:D52"/>
    <mergeCell ref="B3:D3"/>
    <mergeCell ref="C51:D51"/>
    <mergeCell ref="B4:D5"/>
    <mergeCell ref="B6:D6"/>
    <mergeCell ref="B18:D18"/>
    <mergeCell ref="D11:D13"/>
    <mergeCell ref="C36:D36"/>
    <mergeCell ref="C37:D37"/>
    <mergeCell ref="C50:D50"/>
    <mergeCell ref="C40:D40"/>
    <mergeCell ref="B44:D44"/>
    <mergeCell ref="B45:D45"/>
    <mergeCell ref="C47:D47"/>
    <mergeCell ref="B8:D8"/>
    <mergeCell ref="C38:D38"/>
    <mergeCell ref="B19:D19"/>
    <mergeCell ref="C21:D22"/>
    <mergeCell ref="C23:D24"/>
    <mergeCell ref="B26:D26"/>
    <mergeCell ref="B30:D30"/>
    <mergeCell ref="B31:D31"/>
    <mergeCell ref="C33:D33"/>
    <mergeCell ref="C34:D34"/>
    <mergeCell ref="C35:D35"/>
    <mergeCell ref="B15:D15"/>
    <mergeCell ref="B16:D16"/>
    <mergeCell ref="C48:D48"/>
    <mergeCell ref="C49:D49"/>
    <mergeCell ref="C53:D53"/>
    <mergeCell ref="C54:D54"/>
    <mergeCell ref="C55:D55"/>
  </mergeCells>
  <hyperlinks>
    <hyperlink ref="C43" location="DefineByWorkloadFootprint!A1" display="DefineByWorkloadFootprint " xr:uid="{00000000-0004-0000-0100-000001000000}"/>
    <hyperlink ref="C11" location="DefinedSolutionSKUsTop" display="DefinedSolutionSKUs" xr:uid="{00000000-0004-0000-0100-000002000000}"/>
    <hyperlink ref="D2" r:id="rId1" display="Azure Stack Hub Capacity Planner - Azure Stack Hub | Microsoft Docs" xr:uid="{CD4831B1-AF4F-45C5-9AE4-E5EBE3043C94}"/>
    <hyperlink ref="C29" location="DefineDesiredVMResourcesTop" display="DefineByVMFootprint" xr:uid="{4BB4D6C1-7D3C-486A-8FDA-AF70DB5B81CF}"/>
  </hyperlinks>
  <pageMargins left="0.7" right="0.7" top="0.75" bottom="0.75" header="0.3" footer="0.3"/>
  <pageSetup orientation="portrait" r:id="rId2"/>
  <ignoredErrors>
    <ignoredError sqref="B21 B23 B33:B35 B38 B47:B51"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K39"/>
  <sheetViews>
    <sheetView zoomScale="84" zoomScaleNormal="84" workbookViewId="0"/>
  </sheetViews>
  <sheetFormatPr defaultColWidth="8.85546875" defaultRowHeight="15" x14ac:dyDescent="0.25"/>
  <cols>
    <col min="1" max="1" width="6.42578125" customWidth="1"/>
    <col min="2" max="2" width="34.140625" customWidth="1"/>
    <col min="3" max="3" width="27.5703125" style="15" bestFit="1" customWidth="1"/>
    <col min="4" max="4" width="27.140625" style="15" bestFit="1" customWidth="1"/>
    <col min="5" max="5" width="23.140625" style="15" customWidth="1"/>
    <col min="6" max="6" width="23.42578125" style="15" customWidth="1"/>
    <col min="7" max="8" width="23.85546875" style="15" customWidth="1"/>
    <col min="9" max="9" width="20.5703125" customWidth="1"/>
    <col min="10" max="10" width="16.140625" bestFit="1" customWidth="1"/>
    <col min="11" max="11" width="22.5703125" customWidth="1"/>
    <col min="12" max="12" width="13.7109375" customWidth="1"/>
    <col min="18" max="18" width="9.140625" customWidth="1"/>
    <col min="23" max="23" width="12.85546875" customWidth="1"/>
  </cols>
  <sheetData>
    <row r="1" spans="2:11" ht="23.25" customHeight="1" x14ac:dyDescent="0.25">
      <c r="B1" s="600" t="s">
        <v>746</v>
      </c>
      <c r="C1" s="600"/>
      <c r="D1" s="600"/>
      <c r="E1" s="600"/>
      <c r="F1" s="600"/>
      <c r="G1" s="600"/>
      <c r="H1" s="600"/>
    </row>
    <row r="2" spans="2:11" ht="15.75" thickBot="1" x14ac:dyDescent="0.3">
      <c r="B2" s="601"/>
      <c r="C2" s="601"/>
      <c r="D2" s="601"/>
      <c r="E2" s="601"/>
      <c r="F2" s="601"/>
      <c r="G2" s="601"/>
      <c r="H2" s="601"/>
    </row>
    <row r="3" spans="2:11" x14ac:dyDescent="0.25">
      <c r="B3" s="169" t="s">
        <v>38</v>
      </c>
      <c r="C3" s="170" t="s">
        <v>39</v>
      </c>
      <c r="D3" s="170" t="s">
        <v>40</v>
      </c>
      <c r="E3" s="170" t="s">
        <v>41</v>
      </c>
      <c r="F3" s="170" t="s">
        <v>42</v>
      </c>
      <c r="G3" s="170" t="s">
        <v>43</v>
      </c>
      <c r="H3" s="171" t="s">
        <v>44</v>
      </c>
      <c r="I3" s="62" t="s">
        <v>45</v>
      </c>
      <c r="J3" s="63"/>
      <c r="K3" s="64"/>
    </row>
    <row r="4" spans="2:11" x14ac:dyDescent="0.25">
      <c r="B4" s="172" t="s">
        <v>46</v>
      </c>
      <c r="C4" s="173" t="s">
        <v>47</v>
      </c>
      <c r="D4" s="174" t="s">
        <v>48</v>
      </c>
      <c r="E4" s="174" t="s">
        <v>49</v>
      </c>
      <c r="F4" s="174" t="s">
        <v>50</v>
      </c>
      <c r="G4" s="174" t="s">
        <v>51</v>
      </c>
      <c r="H4" s="175" t="s">
        <v>52</v>
      </c>
      <c r="I4" s="65" t="s">
        <v>53</v>
      </c>
      <c r="J4" s="35"/>
      <c r="K4" s="66"/>
    </row>
    <row r="5" spans="2:11" ht="15.75" thickBot="1" x14ac:dyDescent="0.3">
      <c r="B5" s="176" t="s">
        <v>54</v>
      </c>
      <c r="C5" s="177" t="s">
        <v>55</v>
      </c>
      <c r="D5" s="178" t="s">
        <v>56</v>
      </c>
      <c r="E5" s="178" t="s">
        <v>57</v>
      </c>
      <c r="F5" s="178" t="s">
        <v>58</v>
      </c>
      <c r="G5" s="178" t="s">
        <v>59</v>
      </c>
      <c r="H5" s="179" t="s">
        <v>736</v>
      </c>
      <c r="I5" s="67" t="s">
        <v>60</v>
      </c>
      <c r="J5" s="68"/>
      <c r="K5" s="69"/>
    </row>
    <row r="6" spans="2:11" x14ac:dyDescent="0.25">
      <c r="B6" s="172" t="s">
        <v>61</v>
      </c>
      <c r="C6" s="173" t="s">
        <v>62</v>
      </c>
      <c r="D6" s="174" t="s">
        <v>62</v>
      </c>
      <c r="E6" s="174" t="s">
        <v>62</v>
      </c>
      <c r="F6" s="174" t="s">
        <v>62</v>
      </c>
      <c r="G6" s="174" t="s">
        <v>62</v>
      </c>
      <c r="H6" s="175" t="s">
        <v>62</v>
      </c>
    </row>
    <row r="7" spans="2:11" ht="15.75" x14ac:dyDescent="0.25">
      <c r="B7" s="176" t="s">
        <v>63</v>
      </c>
      <c r="C7" s="177" t="s">
        <v>64</v>
      </c>
      <c r="D7" s="178" t="s">
        <v>64</v>
      </c>
      <c r="E7" s="178" t="s">
        <v>65</v>
      </c>
      <c r="F7" s="178" t="s">
        <v>65</v>
      </c>
      <c r="G7" s="178" t="s">
        <v>65</v>
      </c>
      <c r="H7" s="179" t="s">
        <v>737</v>
      </c>
      <c r="I7" s="75"/>
      <c r="J7" s="15"/>
      <c r="K7" s="15"/>
    </row>
    <row r="8" spans="2:11" ht="15.75" thickBot="1" x14ac:dyDescent="0.3">
      <c r="B8" s="172" t="s">
        <v>66</v>
      </c>
      <c r="C8" s="173">
        <v>2</v>
      </c>
      <c r="D8" s="174">
        <v>2</v>
      </c>
      <c r="E8" s="174">
        <v>2</v>
      </c>
      <c r="F8" s="174">
        <v>2</v>
      </c>
      <c r="G8" s="174">
        <v>2</v>
      </c>
      <c r="H8" s="175">
        <v>2</v>
      </c>
    </row>
    <row r="9" spans="2:11" ht="16.5" thickBot="1" x14ac:dyDescent="0.3">
      <c r="B9" s="176" t="s">
        <v>67</v>
      </c>
      <c r="C9" s="180" t="s">
        <v>68</v>
      </c>
      <c r="D9" s="181" t="s">
        <v>69</v>
      </c>
      <c r="E9" s="181" t="s">
        <v>70</v>
      </c>
      <c r="F9" s="181" t="s">
        <v>71</v>
      </c>
      <c r="G9" s="181" t="s">
        <v>72</v>
      </c>
      <c r="H9" s="182">
        <v>6430</v>
      </c>
      <c r="I9" s="215" t="s">
        <v>740</v>
      </c>
      <c r="J9" s="592" t="s">
        <v>739</v>
      </c>
      <c r="K9" s="593"/>
    </row>
    <row r="10" spans="2:11" x14ac:dyDescent="0.25">
      <c r="B10" s="172" t="s">
        <v>73</v>
      </c>
      <c r="C10" s="180">
        <v>14</v>
      </c>
      <c r="D10" s="181">
        <v>14</v>
      </c>
      <c r="E10" s="181">
        <v>14</v>
      </c>
      <c r="F10" s="181">
        <v>18</v>
      </c>
      <c r="G10" s="181">
        <v>22</v>
      </c>
      <c r="H10" s="182">
        <v>52</v>
      </c>
    </row>
    <row r="11" spans="2:11" x14ac:dyDescent="0.25">
      <c r="B11" s="176" t="s">
        <v>74</v>
      </c>
      <c r="C11" s="180">
        <v>2</v>
      </c>
      <c r="D11" s="181">
        <v>2</v>
      </c>
      <c r="E11" s="181">
        <v>2</v>
      </c>
      <c r="F11" s="181">
        <v>2</v>
      </c>
      <c r="G11" s="181">
        <v>2</v>
      </c>
      <c r="H11" s="182">
        <v>2</v>
      </c>
    </row>
    <row r="12" spans="2:11" x14ac:dyDescent="0.25">
      <c r="B12" s="172" t="s">
        <v>75</v>
      </c>
      <c r="C12" s="180">
        <v>256</v>
      </c>
      <c r="D12" s="181">
        <v>512</v>
      </c>
      <c r="E12" s="181">
        <v>512</v>
      </c>
      <c r="F12" s="181">
        <v>512</v>
      </c>
      <c r="G12" s="181">
        <v>768</v>
      </c>
      <c r="H12" s="182">
        <v>1536</v>
      </c>
    </row>
    <row r="13" spans="2:11" x14ac:dyDescent="0.25">
      <c r="B13" s="176" t="s">
        <v>76</v>
      </c>
      <c r="C13" s="180" t="s">
        <v>77</v>
      </c>
      <c r="D13" s="181" t="s">
        <v>78</v>
      </c>
      <c r="E13" s="181" t="s">
        <v>78</v>
      </c>
      <c r="F13" s="181" t="s">
        <v>79</v>
      </c>
      <c r="G13" s="181" t="s">
        <v>80</v>
      </c>
      <c r="H13" s="181" t="s">
        <v>77</v>
      </c>
    </row>
    <row r="14" spans="2:11" x14ac:dyDescent="0.25">
      <c r="B14" s="172" t="s">
        <v>81</v>
      </c>
      <c r="C14" s="180">
        <v>4</v>
      </c>
      <c r="D14" s="181">
        <v>4</v>
      </c>
      <c r="E14" s="181">
        <v>4</v>
      </c>
      <c r="F14" s="181">
        <v>6</v>
      </c>
      <c r="G14" s="181">
        <v>6</v>
      </c>
      <c r="H14" s="181">
        <v>0</v>
      </c>
    </row>
    <row r="15" spans="2:11" x14ac:dyDescent="0.25">
      <c r="B15" s="176" t="s">
        <v>743</v>
      </c>
      <c r="C15" s="180">
        <v>960</v>
      </c>
      <c r="D15" s="181">
        <v>960</v>
      </c>
      <c r="E15" s="181">
        <v>960</v>
      </c>
      <c r="F15" s="181">
        <v>960</v>
      </c>
      <c r="G15" s="181">
        <v>1920</v>
      </c>
      <c r="H15" s="181">
        <v>0</v>
      </c>
    </row>
    <row r="16" spans="2:11" x14ac:dyDescent="0.25">
      <c r="B16" s="172" t="s">
        <v>83</v>
      </c>
      <c r="C16" s="180" t="s">
        <v>80</v>
      </c>
      <c r="D16" s="181" t="s">
        <v>84</v>
      </c>
      <c r="E16" s="181" t="s">
        <v>80</v>
      </c>
      <c r="F16" s="181" t="s">
        <v>84</v>
      </c>
      <c r="G16" s="181" t="s">
        <v>84</v>
      </c>
      <c r="H16" s="181" t="s">
        <v>79</v>
      </c>
    </row>
    <row r="17" spans="2:9" x14ac:dyDescent="0.25">
      <c r="B17" s="176" t="s">
        <v>85</v>
      </c>
      <c r="C17" s="180">
        <v>8</v>
      </c>
      <c r="D17" s="181">
        <v>8</v>
      </c>
      <c r="E17" s="181">
        <v>8</v>
      </c>
      <c r="F17" s="181">
        <v>6</v>
      </c>
      <c r="G17" s="181">
        <v>10</v>
      </c>
      <c r="H17" s="181">
        <v>24</v>
      </c>
    </row>
    <row r="18" spans="2:9" x14ac:dyDescent="0.25">
      <c r="B18" s="172" t="s">
        <v>744</v>
      </c>
      <c r="C18" s="180">
        <v>4000</v>
      </c>
      <c r="D18" s="181">
        <v>6000</v>
      </c>
      <c r="E18" s="181">
        <v>3840</v>
      </c>
      <c r="F18" s="181">
        <v>12000</v>
      </c>
      <c r="G18" s="181">
        <v>8000</v>
      </c>
      <c r="H18" s="181">
        <v>7680</v>
      </c>
    </row>
    <row r="19" spans="2:9" x14ac:dyDescent="0.25">
      <c r="B19" s="176" t="s">
        <v>87</v>
      </c>
      <c r="C19" s="594" t="s">
        <v>707</v>
      </c>
      <c r="D19" s="595"/>
      <c r="E19" s="595"/>
      <c r="F19" s="595"/>
      <c r="G19" s="595"/>
      <c r="H19" s="596"/>
    </row>
    <row r="20" spans="2:9" x14ac:dyDescent="0.25">
      <c r="B20" s="172" t="s">
        <v>89</v>
      </c>
      <c r="C20" s="192"/>
      <c r="D20" s="193"/>
      <c r="E20" s="193"/>
      <c r="F20" s="186"/>
      <c r="G20" s="186"/>
      <c r="H20" s="194">
        <v>2</v>
      </c>
    </row>
    <row r="21" spans="2:9" x14ac:dyDescent="0.25">
      <c r="B21" s="176" t="s">
        <v>90</v>
      </c>
      <c r="C21" s="597"/>
      <c r="D21" s="598"/>
      <c r="E21" s="598"/>
      <c r="F21" s="598"/>
      <c r="G21" s="598"/>
      <c r="H21" s="599"/>
    </row>
    <row r="22" spans="2:9" x14ac:dyDescent="0.25">
      <c r="B22" s="172" t="s">
        <v>91</v>
      </c>
      <c r="C22" s="187" t="s">
        <v>92</v>
      </c>
      <c r="D22" s="188" t="s">
        <v>92</v>
      </c>
      <c r="E22" s="188" t="s">
        <v>92</v>
      </c>
      <c r="F22" s="188" t="s">
        <v>92</v>
      </c>
      <c r="G22" s="188" t="s">
        <v>92</v>
      </c>
      <c r="H22" s="189" t="s">
        <v>92</v>
      </c>
    </row>
    <row r="23" spans="2:9" x14ac:dyDescent="0.25">
      <c r="B23" s="176" t="s">
        <v>93</v>
      </c>
      <c r="C23" s="177" t="s">
        <v>88</v>
      </c>
      <c r="D23" s="178" t="s">
        <v>94</v>
      </c>
      <c r="E23" s="178" t="s">
        <v>95</v>
      </c>
      <c r="F23" s="178" t="s">
        <v>96</v>
      </c>
      <c r="G23" s="178" t="s">
        <v>97</v>
      </c>
      <c r="H23" s="179" t="s">
        <v>97</v>
      </c>
    </row>
    <row r="24" spans="2:9" x14ac:dyDescent="0.25">
      <c r="B24" s="172" t="s">
        <v>98</v>
      </c>
      <c r="C24" s="173" t="s">
        <v>99</v>
      </c>
      <c r="D24" s="174" t="s">
        <v>100</v>
      </c>
      <c r="E24" s="174" t="s">
        <v>101</v>
      </c>
      <c r="F24" s="174" t="s">
        <v>102</v>
      </c>
      <c r="G24" s="174" t="s">
        <v>103</v>
      </c>
      <c r="H24" s="175" t="s">
        <v>103</v>
      </c>
    </row>
    <row r="25" spans="2:9" x14ac:dyDescent="0.25">
      <c r="B25" s="176" t="s">
        <v>104</v>
      </c>
      <c r="C25" s="177" t="s">
        <v>88</v>
      </c>
      <c r="D25" s="178" t="s">
        <v>88</v>
      </c>
      <c r="E25" s="178" t="s">
        <v>88</v>
      </c>
      <c r="F25" s="178" t="s">
        <v>88</v>
      </c>
      <c r="G25" s="178" t="s">
        <v>88</v>
      </c>
      <c r="H25" s="179" t="s">
        <v>88</v>
      </c>
    </row>
    <row r="26" spans="2:9" x14ac:dyDescent="0.25">
      <c r="B26" s="172" t="s">
        <v>105</v>
      </c>
      <c r="C26" s="173" t="s">
        <v>106</v>
      </c>
      <c r="D26" s="174" t="s">
        <v>106</v>
      </c>
      <c r="E26" s="174" t="s">
        <v>106</v>
      </c>
      <c r="F26" s="174" t="s">
        <v>106</v>
      </c>
      <c r="G26" s="174" t="s">
        <v>106</v>
      </c>
      <c r="H26" s="175" t="s">
        <v>106</v>
      </c>
    </row>
    <row r="27" spans="2:9" x14ac:dyDescent="0.25">
      <c r="B27" s="176" t="s">
        <v>107</v>
      </c>
      <c r="C27" s="177">
        <v>1</v>
      </c>
      <c r="D27" s="178">
        <v>1</v>
      </c>
      <c r="E27" s="178">
        <v>1</v>
      </c>
      <c r="F27" s="178">
        <v>1</v>
      </c>
      <c r="G27" s="178">
        <v>2</v>
      </c>
      <c r="H27" s="179">
        <v>2</v>
      </c>
    </row>
    <row r="28" spans="2:9" x14ac:dyDescent="0.25">
      <c r="B28" s="172" t="s">
        <v>108</v>
      </c>
      <c r="C28" s="173">
        <v>400</v>
      </c>
      <c r="D28" s="174">
        <v>400</v>
      </c>
      <c r="E28" s="174">
        <v>400</v>
      </c>
      <c r="F28" s="174">
        <v>400</v>
      </c>
      <c r="G28" s="174">
        <v>960</v>
      </c>
      <c r="H28" s="175">
        <v>960</v>
      </c>
    </row>
    <row r="29" spans="2:9" x14ac:dyDescent="0.25">
      <c r="B29" s="176" t="s">
        <v>109</v>
      </c>
      <c r="C29" s="177" t="s">
        <v>110</v>
      </c>
      <c r="D29" s="178" t="s">
        <v>110</v>
      </c>
      <c r="E29" s="178" t="s">
        <v>110</v>
      </c>
      <c r="F29" s="178" t="s">
        <v>110</v>
      </c>
      <c r="G29" s="179" t="s">
        <v>738</v>
      </c>
      <c r="H29" s="179" t="s">
        <v>738</v>
      </c>
    </row>
    <row r="30" spans="2:9" x14ac:dyDescent="0.25">
      <c r="B30" s="172" t="s">
        <v>111</v>
      </c>
      <c r="C30" s="173" t="s">
        <v>112</v>
      </c>
      <c r="D30" s="174" t="s">
        <v>112</v>
      </c>
      <c r="E30" s="174" t="s">
        <v>112</v>
      </c>
      <c r="F30" s="174" t="s">
        <v>112</v>
      </c>
      <c r="G30" s="174" t="s">
        <v>112</v>
      </c>
      <c r="H30" s="175" t="s">
        <v>112</v>
      </c>
    </row>
    <row r="31" spans="2:9" x14ac:dyDescent="0.25">
      <c r="B31" s="176" t="s">
        <v>113</v>
      </c>
      <c r="C31" s="177">
        <v>2</v>
      </c>
      <c r="D31" s="178">
        <v>2</v>
      </c>
      <c r="E31" s="178">
        <v>2</v>
      </c>
      <c r="F31" s="178">
        <v>2</v>
      </c>
      <c r="G31" s="178">
        <v>2</v>
      </c>
      <c r="H31" s="179">
        <v>2</v>
      </c>
      <c r="I31" s="14"/>
    </row>
    <row r="32" spans="2:9" x14ac:dyDescent="0.25">
      <c r="B32" s="172" t="s">
        <v>114</v>
      </c>
      <c r="C32" s="173" t="s">
        <v>115</v>
      </c>
      <c r="D32" s="174" t="s">
        <v>115</v>
      </c>
      <c r="E32" s="174" t="s">
        <v>115</v>
      </c>
      <c r="F32" s="174" t="s">
        <v>115</v>
      </c>
      <c r="G32" s="174" t="s">
        <v>745</v>
      </c>
      <c r="H32" s="175" t="s">
        <v>745</v>
      </c>
      <c r="I32" s="14"/>
    </row>
    <row r="33" spans="2:8" x14ac:dyDescent="0.25">
      <c r="B33" s="176" t="s">
        <v>116</v>
      </c>
      <c r="C33" s="177" t="s">
        <v>117</v>
      </c>
      <c r="D33" s="178" t="s">
        <v>118</v>
      </c>
      <c r="E33" s="178" t="s">
        <v>119</v>
      </c>
      <c r="F33" s="178" t="s">
        <v>120</v>
      </c>
      <c r="G33" s="178" t="s">
        <v>121</v>
      </c>
      <c r="H33" s="179" t="s">
        <v>119</v>
      </c>
    </row>
    <row r="34" spans="2:8" x14ac:dyDescent="0.25">
      <c r="B34" s="172" t="s">
        <v>122</v>
      </c>
      <c r="C34" s="173" t="s">
        <v>123</v>
      </c>
      <c r="D34" s="174" t="s">
        <v>124</v>
      </c>
      <c r="E34" s="174" t="s">
        <v>125</v>
      </c>
      <c r="F34" s="174" t="s">
        <v>126</v>
      </c>
      <c r="G34" s="174" t="s">
        <v>127</v>
      </c>
      <c r="H34" s="175" t="s">
        <v>125</v>
      </c>
    </row>
    <row r="35" spans="2:8" x14ac:dyDescent="0.25">
      <c r="B35" s="183" t="s">
        <v>128</v>
      </c>
      <c r="C35" s="184" t="s">
        <v>129</v>
      </c>
      <c r="D35" s="184" t="s">
        <v>129</v>
      </c>
      <c r="E35" s="184" t="s">
        <v>129</v>
      </c>
      <c r="F35" s="184" t="s">
        <v>129</v>
      </c>
      <c r="G35" s="184" t="s">
        <v>129</v>
      </c>
      <c r="H35" s="185" t="s">
        <v>129</v>
      </c>
    </row>
    <row r="38" spans="2:8" x14ac:dyDescent="0.25">
      <c r="B38" s="112" t="s">
        <v>130</v>
      </c>
    </row>
    <row r="39" spans="2:8" x14ac:dyDescent="0.25">
      <c r="B39" s="113" t="s">
        <v>131</v>
      </c>
    </row>
  </sheetData>
  <sheetProtection formatCells="0" formatColumns="0" formatRows="0" insertColumns="0" insertRows="0" insertHyperlinks="0" deleteColumns="0" deleteRows="0"/>
  <mergeCells count="4">
    <mergeCell ref="J9:K9"/>
    <mergeCell ref="C19:H19"/>
    <mergeCell ref="C21:H21"/>
    <mergeCell ref="B1:H2"/>
  </mergeCells>
  <phoneticPr fontId="40" type="noConversion"/>
  <conditionalFormatting sqref="C20:H20 C21">
    <cfRule type="expression" dxfId="28" priority="1">
      <formula>(Sku_6_GPU_Type = "N/A")</formula>
    </cfRule>
  </conditionalFormatting>
  <dataValidations count="2">
    <dataValidation type="list" allowBlank="1" showInputMessage="1" showErrorMessage="1" sqref="C21" xr:uid="{34CB6044-DA66-4B45-BB18-4EB2F85950C9}">
      <formula1>INDIRECT(Sku_6_GPU_Type)</formula1>
    </dataValidation>
    <dataValidation type="list" allowBlank="1" showInputMessage="1" showErrorMessage="1" sqref="C20:H20" xr:uid="{03A5F1AA-89A8-47FA-BB67-2D8D8F6DA210}">
      <formula1>"1, 2, 3, 4"</formula1>
    </dataValidation>
  </dataValidations>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200-000000000000}">
          <x14:formula1>
            <xm:f>DefineSolutionSKUs_Tables!$E$2:$E$5</xm:f>
          </x14:formula1>
          <xm:sqref>C13:H13</xm:sqref>
        </x14:dataValidation>
        <x14:dataValidation type="list" allowBlank="1" showInputMessage="1" showErrorMessage="1" xr:uid="{00000000-0002-0000-0200-000001000000}">
          <x14:formula1>
            <xm:f>DefineSolutionSKUs_Tables!$F$2:$F$6</xm:f>
          </x14:formula1>
          <xm:sqref>C16:H16</xm:sqref>
        </x14:dataValidation>
        <x14:dataValidation type="list" allowBlank="1" showInputMessage="1" showErrorMessage="1" xr:uid="{00000000-0002-0000-0200-000002000000}">
          <x14:formula1>
            <xm:f>DefineSolutionSKUs_Tables!$B$2:$B$8</xm:f>
          </x14:formula1>
          <xm:sqref>C15:H15</xm:sqref>
        </x14:dataValidation>
        <x14:dataValidation type="list" allowBlank="1" showInputMessage="1" showErrorMessage="1" xr:uid="{00000000-0002-0000-0200-000003000000}">
          <x14:formula1>
            <xm:f>DefineSolutionSKUs_Tables!$A$2:$A$7</xm:f>
          </x14:formula1>
          <xm:sqref>C14:H14</xm:sqref>
        </x14:dataValidation>
        <x14:dataValidation type="list" allowBlank="1" showInputMessage="1" showErrorMessage="1" xr:uid="{00000000-0002-0000-0200-000005000000}">
          <x14:formula1>
            <xm:f>DefineSolutionSKUs_Tables!$C$2:$C$11</xm:f>
          </x14:formula1>
          <xm:sqref>C17:G17</xm:sqref>
        </x14:dataValidation>
        <x14:dataValidation type="list" allowBlank="1" showInputMessage="1" showErrorMessage="1" xr:uid="{F040FA26-DF87-4B9F-9478-EDF643383E76}">
          <x14:formula1>
            <xm:f>GPUReferencePage!$B$6:$F$6</xm:f>
          </x14:formula1>
          <xm:sqref>C19:H19</xm:sqref>
        </x14:dataValidation>
        <x14:dataValidation type="list" allowBlank="1" showInputMessage="1" showErrorMessage="1" xr:uid="{00000000-0002-0000-0200-000004000000}">
          <x14:formula1>
            <xm:f>DefineSolutionSKUs_Tables!$D$2:$D$13</xm:f>
          </x14:formula1>
          <xm:sqref>C18:H18</xm:sqref>
        </x14:dataValidation>
        <x14:dataValidation type="list" allowBlank="1" showInputMessage="1" showErrorMessage="1" xr:uid="{634A57D8-5809-49D9-B341-087030D7604B}">
          <x14:formula1>
            <xm:f>DefineSolutionSKUs_Tables!$C$2:$C$12</xm:f>
          </x14:formula1>
          <xm:sqref>H17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T303"/>
  <sheetViews>
    <sheetView zoomScale="65" zoomScaleNormal="65" workbookViewId="0"/>
  </sheetViews>
  <sheetFormatPr defaultColWidth="8.85546875" defaultRowHeight="15" x14ac:dyDescent="0.25"/>
  <cols>
    <col min="1" max="1" width="5" style="213" customWidth="1"/>
    <col min="2" max="2" width="12.42578125" style="213" customWidth="1"/>
    <col min="3" max="3" width="29.85546875" style="213" customWidth="1"/>
    <col min="4" max="4" width="11.140625" style="213" customWidth="1"/>
    <col min="5" max="5" width="10.42578125" style="213" customWidth="1"/>
    <col min="6" max="6" width="9.42578125" style="213" customWidth="1"/>
    <col min="7" max="7" width="14.140625" style="213" customWidth="1"/>
    <col min="8" max="8" width="16.140625" style="213" bestFit="1" customWidth="1"/>
    <col min="9" max="9" width="21.42578125" style="213" bestFit="1" customWidth="1"/>
    <col min="10" max="10" width="42" style="213" customWidth="1"/>
    <col min="11" max="11" width="5.85546875" style="213" customWidth="1"/>
    <col min="12" max="12" width="14.5703125" style="213" customWidth="1"/>
    <col min="13" max="13" width="30.7109375" style="213" customWidth="1"/>
    <col min="14" max="14" width="16.140625" style="213" customWidth="1"/>
    <col min="15" max="15" width="16.42578125" style="213" customWidth="1"/>
    <col min="16" max="16" width="18.85546875" style="213" customWidth="1"/>
    <col min="17" max="17" width="15.140625" style="213" customWidth="1"/>
    <col min="18" max="19" width="15.42578125" style="213" customWidth="1"/>
    <col min="20" max="20" width="5.140625" style="213" customWidth="1"/>
    <col min="21" max="21" width="10.42578125" style="213" customWidth="1"/>
    <col min="22" max="22" width="10.5703125" style="213" customWidth="1"/>
    <col min="23" max="23" width="20.140625" style="213" customWidth="1"/>
    <col min="24" max="24" width="4.5703125" style="213" customWidth="1"/>
    <col min="25" max="25" width="15.28515625" style="213" customWidth="1"/>
    <col min="26" max="26" width="8.85546875" style="213"/>
    <col min="27" max="27" width="23.5703125" style="213" customWidth="1"/>
    <col min="28" max="28" width="2.7109375" style="213" customWidth="1"/>
    <col min="29" max="29" width="15.140625" style="213" customWidth="1"/>
    <col min="30" max="30" width="20" style="213" customWidth="1"/>
    <col min="31" max="31" width="12" style="213" customWidth="1"/>
    <col min="32" max="32" width="16.140625" style="213" customWidth="1"/>
    <col min="33" max="33" width="9.85546875" style="213" customWidth="1"/>
    <col min="34" max="35" width="12.5703125" style="213" customWidth="1"/>
    <col min="36" max="16384" width="8.85546875" style="213"/>
  </cols>
  <sheetData>
    <row r="1" spans="2:27" ht="15.75" thickBot="1" x14ac:dyDescent="0.3">
      <c r="M1" s="539"/>
      <c r="N1" s="540"/>
      <c r="T1" s="277"/>
    </row>
    <row r="2" spans="2:27" ht="16.5" customHeight="1" thickBot="1" x14ac:dyDescent="0.35">
      <c r="N2" s="224" t="s">
        <v>132</v>
      </c>
      <c r="O2" s="527" t="s">
        <v>133</v>
      </c>
      <c r="P2" s="224" t="s">
        <v>134</v>
      </c>
      <c r="Q2" s="527" t="s">
        <v>135</v>
      </c>
      <c r="R2" s="224" t="s">
        <v>136</v>
      </c>
      <c r="S2" s="224" t="s">
        <v>137</v>
      </c>
      <c r="U2" s="609" t="s">
        <v>703</v>
      </c>
      <c r="V2" s="610"/>
      <c r="W2" s="611"/>
      <c r="Y2" s="661" t="s">
        <v>734</v>
      </c>
      <c r="Z2" s="662"/>
      <c r="AA2" s="663"/>
    </row>
    <row r="3" spans="2:27" ht="19.350000000000001" customHeight="1" thickBot="1" x14ac:dyDescent="0.3">
      <c r="M3" s="528" t="s">
        <v>138</v>
      </c>
      <c r="N3" s="529" t="str">
        <f>DefinedSolutionSKUs!$C$3</f>
        <v>Example 1</v>
      </c>
      <c r="O3" s="530" t="str">
        <f>DefinedSolutionSKUs!$D$3</f>
        <v>Example 2</v>
      </c>
      <c r="P3" s="529" t="str">
        <f>DefinedSolutionSKUs!$E$3</f>
        <v>Example 3</v>
      </c>
      <c r="Q3" s="530" t="str">
        <f>DefinedSolutionSKUs!$F$3</f>
        <v>Example 4</v>
      </c>
      <c r="R3" s="531" t="str">
        <f>DefinedSolutionSKUs!$G$3</f>
        <v>Example 5</v>
      </c>
      <c r="S3" s="367" t="str">
        <f>DefinedSolutionSKUs!$H$3</f>
        <v>Example 6</v>
      </c>
      <c r="U3" s="616" t="s">
        <v>139</v>
      </c>
      <c r="V3" s="617"/>
      <c r="W3" s="618"/>
      <c r="Y3" s="664"/>
      <c r="Z3" s="665"/>
      <c r="AA3" s="666"/>
    </row>
    <row r="4" spans="2:27" ht="19.5" thickBot="1" x14ac:dyDescent="0.35">
      <c r="M4" s="532" t="s">
        <v>140</v>
      </c>
      <c r="N4" s="226">
        <v>4</v>
      </c>
      <c r="O4" s="226">
        <v>8</v>
      </c>
      <c r="P4" s="226">
        <v>8</v>
      </c>
      <c r="Q4" s="226">
        <v>8</v>
      </c>
      <c r="R4" s="227">
        <v>12</v>
      </c>
      <c r="S4" s="228">
        <v>16</v>
      </c>
      <c r="U4" s="619"/>
      <c r="V4" s="617"/>
      <c r="W4" s="618"/>
      <c r="X4" s="295"/>
      <c r="Y4" s="667"/>
      <c r="Z4" s="668"/>
      <c r="AA4" s="669"/>
    </row>
    <row r="5" spans="2:27" ht="19.5" thickBot="1" x14ac:dyDescent="0.35">
      <c r="C5" s="612" t="s">
        <v>141</v>
      </c>
      <c r="D5" s="613"/>
      <c r="E5" s="613"/>
      <c r="F5" s="613"/>
      <c r="G5" s="613"/>
      <c r="H5" s="613"/>
      <c r="I5" s="614"/>
      <c r="J5" s="615"/>
      <c r="K5" s="229"/>
      <c r="M5" s="533" t="s">
        <v>142</v>
      </c>
      <c r="N5" s="368">
        <f>Sku_1_Total_Cores</f>
        <v>53.099999999999994</v>
      </c>
      <c r="O5" s="368">
        <f>Sku_2_Total_Cores</f>
        <v>142.69999999999999</v>
      </c>
      <c r="P5" s="368">
        <f>Sku_3_Total_Cores</f>
        <v>142.69999999999999</v>
      </c>
      <c r="Q5" s="368">
        <f>Sku_4_Total_Cores</f>
        <v>193.9</v>
      </c>
      <c r="R5" s="369">
        <f>Sku_5_Total_Cores</f>
        <v>385.9</v>
      </c>
      <c r="S5" s="370">
        <f>Sku_6_Total_Cores</f>
        <v>1294.7</v>
      </c>
      <c r="U5" s="622" t="s">
        <v>44</v>
      </c>
      <c r="V5" s="623"/>
      <c r="W5" s="624"/>
      <c r="Y5" s="670">
        <v>4</v>
      </c>
      <c r="Z5" s="671"/>
      <c r="AA5" s="672"/>
    </row>
    <row r="6" spans="2:27" ht="16.5" customHeight="1" thickBot="1" x14ac:dyDescent="0.3">
      <c r="B6" s="230" t="s">
        <v>143</v>
      </c>
      <c r="C6" s="231" t="s">
        <v>144</v>
      </c>
      <c r="D6" s="232" t="s">
        <v>145</v>
      </c>
      <c r="E6" s="232" t="s">
        <v>146</v>
      </c>
      <c r="F6" s="232" t="s">
        <v>147</v>
      </c>
      <c r="G6" s="232" t="s">
        <v>148</v>
      </c>
      <c r="H6" s="233" t="s">
        <v>149</v>
      </c>
      <c r="I6" s="234" t="s">
        <v>150</v>
      </c>
      <c r="J6" s="296" t="s">
        <v>151</v>
      </c>
      <c r="K6" s="235"/>
      <c r="M6" s="533" t="s">
        <v>152</v>
      </c>
      <c r="N6" s="371">
        <f>Sku_1_Memory_for_VMs</f>
        <v>348.79999999999995</v>
      </c>
      <c r="O6" s="371">
        <f>Sku_2_Memory_for_VMs</f>
        <v>2670.4</v>
      </c>
      <c r="P6" s="371">
        <f>Sku_3_Memory_for_VMs</f>
        <v>2670.4</v>
      </c>
      <c r="Q6" s="371">
        <f>Sku_4_Memory_for_VMs</f>
        <v>2670.4</v>
      </c>
      <c r="R6" s="369">
        <f>Sku_5_Memory_for_VMs</f>
        <v>6732.8</v>
      </c>
      <c r="S6" s="370" cm="1">
        <f t="array" ref="S6">Sku_6_Memory_for_VMs</f>
        <v>19064</v>
      </c>
    </row>
    <row r="7" spans="2:27" ht="16.5" customHeight="1" thickBot="1" x14ac:dyDescent="0.3">
      <c r="B7" s="236"/>
      <c r="C7" s="620" t="s">
        <v>153</v>
      </c>
      <c r="D7" s="620"/>
      <c r="E7" s="620"/>
      <c r="F7" s="620"/>
      <c r="G7" s="620"/>
      <c r="H7" s="620"/>
      <c r="I7" s="621"/>
      <c r="J7" s="297"/>
      <c r="K7" s="235"/>
      <c r="M7" s="533" t="s">
        <v>154</v>
      </c>
      <c r="N7" s="369">
        <f>Sku_1_Temp_Disk_Value</f>
        <v>3.3954468866189327</v>
      </c>
      <c r="O7" s="369">
        <f>Sku_2_Temp_Disk_Value</f>
        <v>10.186340659856796</v>
      </c>
      <c r="P7" s="369">
        <f>Sku_3_Temp_Disk_Value</f>
        <v>6.5192580223083496</v>
      </c>
      <c r="Q7" s="369">
        <f>Sku_4_Temp_Disk_Value</f>
        <v>14.551915228366852</v>
      </c>
      <c r="R7" s="369">
        <f>Sku_5_Temp_Disk_Value</f>
        <v>26.193447411060333</v>
      </c>
      <c r="S7" s="370" cm="1">
        <f t="array" ref="S7">Sku_6_Temp_Disk_Value</f>
        <v>85.681676864624023</v>
      </c>
      <c r="Y7" s="676" t="s">
        <v>747</v>
      </c>
      <c r="Z7" s="676"/>
      <c r="AA7" s="676"/>
    </row>
    <row r="8" spans="2:27" ht="16.5" thickBot="1" x14ac:dyDescent="0.3">
      <c r="B8" s="237">
        <v>0</v>
      </c>
      <c r="C8" s="238" t="s">
        <v>155</v>
      </c>
      <c r="D8" s="372">
        <f>VLOOKUP(C8,$L$151:$O$275,2,FALSE)</f>
        <v>1</v>
      </c>
      <c r="E8" s="372">
        <f>VLOOKUP(C8,$L$151:$O$275,3,FALSE)</f>
        <v>0.75</v>
      </c>
      <c r="F8" s="239" t="s">
        <v>156</v>
      </c>
      <c r="G8" s="239" t="s">
        <v>156</v>
      </c>
      <c r="H8" s="240">
        <v>12</v>
      </c>
      <c r="I8" s="241">
        <v>100</v>
      </c>
      <c r="J8" s="298"/>
      <c r="K8" s="242"/>
      <c r="M8" s="533" t="s">
        <v>158</v>
      </c>
      <c r="N8" s="369">
        <f>Sku_1_Total_Storage</f>
        <v>27.141053229570389</v>
      </c>
      <c r="O8" s="369">
        <f>Sku_2_Total_Storage</f>
        <v>88.259097188711166</v>
      </c>
      <c r="P8" s="369">
        <f>Sku_3_Total_Storage</f>
        <v>55.255353450775146</v>
      </c>
      <c r="Q8" s="369">
        <f>Sku_4_Total_Storage</f>
        <v>127.54926830530167</v>
      </c>
      <c r="R8" s="369">
        <f>Sku_5_Total_Storage</f>
        <v>232.323057949543</v>
      </c>
      <c r="S8" s="370" cm="1">
        <f t="array" ref="S8">Sku_6_Total_Storage</f>
        <v>767.7171230316161</v>
      </c>
      <c r="Y8" s="676"/>
      <c r="Z8" s="676"/>
      <c r="AA8" s="676"/>
    </row>
    <row r="9" spans="2:27" ht="19.350000000000001" customHeight="1" thickBot="1" x14ac:dyDescent="0.3">
      <c r="B9" s="237">
        <v>0</v>
      </c>
      <c r="C9" s="238" t="s">
        <v>159</v>
      </c>
      <c r="D9" s="372">
        <f>VLOOKUP(C9,$L$151:$O$275,2,FALSE)</f>
        <v>1</v>
      </c>
      <c r="E9" s="372">
        <f>VLOOKUP(C9,$L$151:$O$275,3,FALSE)</f>
        <v>1.75</v>
      </c>
      <c r="F9" s="239" t="s">
        <v>156</v>
      </c>
      <c r="G9" s="239" t="s">
        <v>156</v>
      </c>
      <c r="H9" s="240">
        <v>30</v>
      </c>
      <c r="I9" s="241">
        <v>120</v>
      </c>
      <c r="J9" s="298" t="s">
        <v>157</v>
      </c>
      <c r="K9" s="242"/>
      <c r="M9" s="534" t="s">
        <v>161</v>
      </c>
      <c r="N9" s="370">
        <f>Sku_1_Available_GPU_Number</f>
        <v>0</v>
      </c>
      <c r="O9" s="370">
        <f>Sku_2_Available_GPU_Number</f>
        <v>0</v>
      </c>
      <c r="P9" s="370">
        <f>Sku_3_Available_GPU_Number</f>
        <v>0</v>
      </c>
      <c r="Q9" s="370">
        <f>Sku_4_Available_GPU_Number</f>
        <v>0</v>
      </c>
      <c r="R9" s="370">
        <f>Sku_5_Available_GPU_Number</f>
        <v>0</v>
      </c>
      <c r="S9" s="370">
        <f>Sku_6_Available_GPU_Number</f>
        <v>32</v>
      </c>
      <c r="Y9" s="676"/>
      <c r="Z9" s="676"/>
      <c r="AA9" s="676"/>
    </row>
    <row r="10" spans="2:27" ht="19.350000000000001" customHeight="1" thickBot="1" x14ac:dyDescent="0.3">
      <c r="B10" s="237">
        <v>0</v>
      </c>
      <c r="C10" s="238" t="s">
        <v>162</v>
      </c>
      <c r="D10" s="372">
        <f>VLOOKUP(C10,$L$151:$O$275,2,FALSE)</f>
        <v>2</v>
      </c>
      <c r="E10" s="372">
        <f>VLOOKUP(C10,$L$151:$O$275,3,FALSE)</f>
        <v>3.5</v>
      </c>
      <c r="F10" s="239" t="s">
        <v>156</v>
      </c>
      <c r="G10" s="239" t="s">
        <v>156</v>
      </c>
      <c r="H10" s="240">
        <v>60</v>
      </c>
      <c r="I10" s="241">
        <v>120</v>
      </c>
      <c r="J10" s="299" t="s">
        <v>160</v>
      </c>
      <c r="K10" s="242"/>
    </row>
    <row r="11" spans="2:27" ht="19.350000000000001" customHeight="1" thickBot="1" x14ac:dyDescent="0.35">
      <c r="B11" s="237">
        <v>0</v>
      </c>
      <c r="C11" s="238" t="s">
        <v>164</v>
      </c>
      <c r="D11" s="372">
        <f>VLOOKUP(C11,$L$151:$O$275,2,FALSE)</f>
        <v>4</v>
      </c>
      <c r="E11" s="372">
        <f>VLOOKUP(C11,$L$151:$O$275,3,FALSE)</f>
        <v>7</v>
      </c>
      <c r="F11" s="239" t="s">
        <v>156</v>
      </c>
      <c r="G11" s="239" t="s">
        <v>156</v>
      </c>
      <c r="H11" s="240">
        <v>152</v>
      </c>
      <c r="I11" s="241">
        <v>160</v>
      </c>
      <c r="J11" s="299" t="s">
        <v>163</v>
      </c>
      <c r="K11" s="242"/>
      <c r="M11" s="625" t="s">
        <v>166</v>
      </c>
      <c r="N11" s="625"/>
      <c r="O11" s="625"/>
      <c r="P11" s="625"/>
      <c r="Q11" s="625"/>
      <c r="R11" s="625"/>
      <c r="S11" s="625"/>
      <c r="T11" s="625"/>
      <c r="Y11" s="673" t="s">
        <v>174</v>
      </c>
      <c r="Z11" s="674"/>
      <c r="AA11" s="675"/>
    </row>
    <row r="12" spans="2:27" ht="19.5" thickBot="1" x14ac:dyDescent="0.35">
      <c r="B12" s="237">
        <v>0</v>
      </c>
      <c r="C12" s="238" t="s">
        <v>167</v>
      </c>
      <c r="D12" s="372">
        <f>VLOOKUP(C12,$L$151:$O$275,2,FALSE)</f>
        <v>8</v>
      </c>
      <c r="E12" s="372">
        <f>VLOOKUP(C12,$L$151:$O$275,3,FALSE)</f>
        <v>14</v>
      </c>
      <c r="F12" s="239" t="s">
        <v>156</v>
      </c>
      <c r="G12" s="239" t="s">
        <v>156</v>
      </c>
      <c r="H12" s="240">
        <v>330</v>
      </c>
      <c r="I12" s="241">
        <v>160</v>
      </c>
      <c r="J12" s="299" t="s">
        <v>165</v>
      </c>
      <c r="X12" s="225"/>
      <c r="Y12" s="301">
        <v>0</v>
      </c>
      <c r="Z12" s="302" t="s">
        <v>176</v>
      </c>
      <c r="AA12" s="303"/>
    </row>
    <row r="13" spans="2:27" ht="19.350000000000001" customHeight="1" thickBot="1" x14ac:dyDescent="0.3">
      <c r="B13" s="236"/>
      <c r="C13" s="605" t="s">
        <v>168</v>
      </c>
      <c r="D13" s="605"/>
      <c r="E13" s="605"/>
      <c r="F13" s="605"/>
      <c r="G13" s="605"/>
      <c r="H13" s="605"/>
      <c r="I13" s="606"/>
      <c r="J13" s="300"/>
      <c r="Y13" s="304">
        <v>100</v>
      </c>
      <c r="Z13" s="302" t="s">
        <v>178</v>
      </c>
      <c r="AA13" s="305"/>
    </row>
    <row r="14" spans="2:27" ht="16.5" customHeight="1" thickBot="1" x14ac:dyDescent="0.3">
      <c r="B14" s="237">
        <v>0</v>
      </c>
      <c r="C14" s="243" t="s">
        <v>169</v>
      </c>
      <c r="D14" s="373">
        <f t="shared" ref="D14:D21" si="0">VLOOKUP(C14,$L$151:$O$275,2,FALSE)</f>
        <v>1</v>
      </c>
      <c r="E14" s="373">
        <f t="shared" ref="E14:E21" si="1">VLOOKUP(C14,$L$151:$O$275,3,FALSE)</f>
        <v>0.75</v>
      </c>
      <c r="F14" s="244" t="s">
        <v>156</v>
      </c>
      <c r="G14" s="244" t="s">
        <v>156</v>
      </c>
      <c r="H14" s="240">
        <v>12</v>
      </c>
      <c r="I14" s="241">
        <v>512</v>
      </c>
      <c r="J14" s="300"/>
      <c r="Y14" s="304">
        <v>120</v>
      </c>
      <c r="Z14" s="302" t="s">
        <v>180</v>
      </c>
      <c r="AA14" s="305"/>
    </row>
    <row r="15" spans="2:27" ht="16.5" customHeight="1" thickBot="1" x14ac:dyDescent="0.3">
      <c r="B15" s="237">
        <v>0</v>
      </c>
      <c r="C15" s="243" t="s">
        <v>170</v>
      </c>
      <c r="D15" s="373">
        <f t="shared" si="0"/>
        <v>1</v>
      </c>
      <c r="E15" s="373">
        <f t="shared" si="1"/>
        <v>1.75</v>
      </c>
      <c r="F15" s="244" t="s">
        <v>156</v>
      </c>
      <c r="G15" s="244" t="s">
        <v>156</v>
      </c>
      <c r="H15" s="240">
        <v>30</v>
      </c>
      <c r="I15" s="241">
        <v>160</v>
      </c>
      <c r="J15" s="300"/>
      <c r="Y15" s="304">
        <v>160</v>
      </c>
      <c r="Z15" s="302" t="s">
        <v>182</v>
      </c>
      <c r="AA15" s="305"/>
    </row>
    <row r="16" spans="2:27" ht="16.5" thickBot="1" x14ac:dyDescent="0.3">
      <c r="B16" s="237">
        <v>0</v>
      </c>
      <c r="C16" s="243" t="s">
        <v>171</v>
      </c>
      <c r="D16" s="373">
        <f t="shared" si="0"/>
        <v>2</v>
      </c>
      <c r="E16" s="373">
        <f t="shared" si="1"/>
        <v>3.5</v>
      </c>
      <c r="F16" s="244" t="s">
        <v>156</v>
      </c>
      <c r="G16" s="244" t="s">
        <v>156</v>
      </c>
      <c r="H16" s="240">
        <v>60</v>
      </c>
      <c r="I16" s="241">
        <v>160</v>
      </c>
      <c r="J16" s="300"/>
      <c r="Y16" s="304">
        <v>320</v>
      </c>
      <c r="Z16" s="302" t="s">
        <v>184</v>
      </c>
      <c r="AA16" s="305"/>
    </row>
    <row r="17" spans="2:27" ht="16.5" thickBot="1" x14ac:dyDescent="0.3">
      <c r="B17" s="237">
        <v>0</v>
      </c>
      <c r="C17" s="243" t="s">
        <v>172</v>
      </c>
      <c r="D17" s="373">
        <f t="shared" si="0"/>
        <v>4</v>
      </c>
      <c r="E17" s="373">
        <f t="shared" si="1"/>
        <v>7</v>
      </c>
      <c r="F17" s="244" t="s">
        <v>156</v>
      </c>
      <c r="G17" s="244" t="s">
        <v>156</v>
      </c>
      <c r="H17" s="240">
        <v>133</v>
      </c>
      <c r="I17" s="241">
        <v>320</v>
      </c>
      <c r="J17" s="300"/>
      <c r="Y17" s="304">
        <v>512</v>
      </c>
      <c r="Z17" s="302" t="s">
        <v>186</v>
      </c>
      <c r="AA17" s="305"/>
    </row>
    <row r="18" spans="2:27" ht="16.5" thickBot="1" x14ac:dyDescent="0.3">
      <c r="B18" s="237">
        <v>0</v>
      </c>
      <c r="C18" s="243" t="s">
        <v>173</v>
      </c>
      <c r="D18" s="373">
        <f t="shared" si="0"/>
        <v>8</v>
      </c>
      <c r="E18" s="373">
        <f t="shared" si="1"/>
        <v>14</v>
      </c>
      <c r="F18" s="244" t="s">
        <v>156</v>
      </c>
      <c r="G18" s="244" t="s">
        <v>156</v>
      </c>
      <c r="H18" s="240">
        <v>330</v>
      </c>
      <c r="I18" s="241">
        <v>320</v>
      </c>
      <c r="J18" s="300"/>
      <c r="Y18" s="304">
        <v>1024</v>
      </c>
      <c r="Z18" s="302" t="s">
        <v>188</v>
      </c>
      <c r="AA18" s="305"/>
    </row>
    <row r="19" spans="2:27" ht="16.5" thickBot="1" x14ac:dyDescent="0.3">
      <c r="B19" s="237">
        <v>0</v>
      </c>
      <c r="C19" s="243" t="s">
        <v>175</v>
      </c>
      <c r="D19" s="373">
        <f t="shared" si="0"/>
        <v>2</v>
      </c>
      <c r="E19" s="373">
        <f t="shared" si="1"/>
        <v>14</v>
      </c>
      <c r="F19" s="244" t="s">
        <v>156</v>
      </c>
      <c r="G19" s="244" t="s">
        <v>156</v>
      </c>
      <c r="H19" s="240">
        <v>60</v>
      </c>
      <c r="I19" s="241">
        <v>512</v>
      </c>
      <c r="J19" s="300"/>
      <c r="Y19" s="304">
        <v>2048</v>
      </c>
      <c r="Z19" s="302" t="s">
        <v>190</v>
      </c>
      <c r="AA19" s="305"/>
    </row>
    <row r="20" spans="2:27" ht="16.5" thickBot="1" x14ac:dyDescent="0.3">
      <c r="B20" s="237">
        <v>0</v>
      </c>
      <c r="C20" s="243" t="s">
        <v>177</v>
      </c>
      <c r="D20" s="373">
        <f t="shared" si="0"/>
        <v>4</v>
      </c>
      <c r="E20" s="373">
        <f t="shared" si="1"/>
        <v>28</v>
      </c>
      <c r="F20" s="244" t="s">
        <v>156</v>
      </c>
      <c r="G20" s="244" t="s">
        <v>156</v>
      </c>
      <c r="H20" s="240">
        <v>190</v>
      </c>
      <c r="I20" s="241">
        <v>512</v>
      </c>
      <c r="J20" s="300"/>
      <c r="Y20" s="304">
        <v>5120</v>
      </c>
      <c r="Z20" s="213" t="s">
        <v>192</v>
      </c>
      <c r="AA20" s="305"/>
    </row>
    <row r="21" spans="2:27" ht="16.5" thickBot="1" x14ac:dyDescent="0.3">
      <c r="B21" s="237">
        <v>0</v>
      </c>
      <c r="C21" s="243" t="s">
        <v>179</v>
      </c>
      <c r="D21" s="373">
        <f t="shared" si="0"/>
        <v>8</v>
      </c>
      <c r="E21" s="373">
        <f t="shared" si="1"/>
        <v>56</v>
      </c>
      <c r="F21" s="244" t="s">
        <v>156</v>
      </c>
      <c r="G21" s="244" t="s">
        <v>156</v>
      </c>
      <c r="H21" s="240">
        <v>385</v>
      </c>
      <c r="I21" s="241">
        <v>1024</v>
      </c>
      <c r="J21" s="300"/>
      <c r="Y21" s="304">
        <v>8192</v>
      </c>
      <c r="Z21" s="213" t="s">
        <v>194</v>
      </c>
      <c r="AA21" s="305"/>
    </row>
    <row r="22" spans="2:27" ht="16.5" thickBot="1" x14ac:dyDescent="0.3">
      <c r="B22" s="236"/>
      <c r="C22" s="605" t="s">
        <v>181</v>
      </c>
      <c r="D22" s="605"/>
      <c r="E22" s="605"/>
      <c r="F22" s="605"/>
      <c r="G22" s="605"/>
      <c r="H22" s="605"/>
      <c r="I22" s="606"/>
      <c r="J22" s="300"/>
      <c r="Y22" s="304">
        <v>16384</v>
      </c>
      <c r="Z22" s="302" t="s">
        <v>196</v>
      </c>
      <c r="AA22" s="305"/>
    </row>
    <row r="23" spans="2:27" ht="16.5" thickBot="1" x14ac:dyDescent="0.3">
      <c r="B23" s="237">
        <v>0</v>
      </c>
      <c r="C23" s="245" t="s">
        <v>183</v>
      </c>
      <c r="D23" s="374">
        <f t="shared" ref="D23:D29" si="2">VLOOKUP(C23,$L$151:$O$275,2,FALSE)</f>
        <v>1</v>
      </c>
      <c r="E23" s="374">
        <f t="shared" ref="E23:E29" si="3">VLOOKUP(C23,$L$151:$O$275,3,FALSE)</f>
        <v>2</v>
      </c>
      <c r="F23" s="246" t="s">
        <v>156</v>
      </c>
      <c r="G23" s="246" t="s">
        <v>156</v>
      </c>
      <c r="H23" s="240">
        <v>5</v>
      </c>
      <c r="I23" s="241">
        <v>1024</v>
      </c>
      <c r="J23" s="300"/>
      <c r="Y23" s="304">
        <v>32768</v>
      </c>
      <c r="Z23" s="302" t="s">
        <v>198</v>
      </c>
      <c r="AA23" s="305"/>
    </row>
    <row r="24" spans="2:27" ht="16.5" thickBot="1" x14ac:dyDescent="0.3">
      <c r="B24" s="237">
        <v>0</v>
      </c>
      <c r="C24" s="245" t="s">
        <v>185</v>
      </c>
      <c r="D24" s="374">
        <f t="shared" si="2"/>
        <v>2</v>
      </c>
      <c r="E24" s="374">
        <f t="shared" si="3"/>
        <v>4</v>
      </c>
      <c r="F24" s="246" t="s">
        <v>156</v>
      </c>
      <c r="G24" s="246" t="s">
        <v>156</v>
      </c>
      <c r="H24" s="240">
        <v>12</v>
      </c>
      <c r="I24" s="241">
        <v>1024</v>
      </c>
      <c r="J24" s="300"/>
      <c r="Y24" s="304">
        <v>65536</v>
      </c>
      <c r="Z24" s="306" t="s">
        <v>200</v>
      </c>
      <c r="AA24" s="307"/>
    </row>
    <row r="25" spans="2:27" ht="16.5" thickBot="1" x14ac:dyDescent="0.3">
      <c r="B25" s="237">
        <v>0</v>
      </c>
      <c r="C25" s="245" t="s">
        <v>187</v>
      </c>
      <c r="D25" s="374">
        <f t="shared" si="2"/>
        <v>4</v>
      </c>
      <c r="E25" s="374">
        <f t="shared" si="3"/>
        <v>8</v>
      </c>
      <c r="F25" s="246" t="s">
        <v>156</v>
      </c>
      <c r="G25" s="246" t="s">
        <v>156</v>
      </c>
      <c r="H25" s="240">
        <v>20</v>
      </c>
      <c r="I25" s="241">
        <v>1024</v>
      </c>
      <c r="J25" s="300"/>
    </row>
    <row r="26" spans="2:27" ht="16.350000000000001" customHeight="1" thickBot="1" x14ac:dyDescent="0.3">
      <c r="B26" s="237">
        <v>0</v>
      </c>
      <c r="C26" s="245" t="s">
        <v>189</v>
      </c>
      <c r="D26" s="374">
        <f t="shared" si="2"/>
        <v>8</v>
      </c>
      <c r="E26" s="374">
        <f t="shared" si="3"/>
        <v>16</v>
      </c>
      <c r="F26" s="246" t="s">
        <v>156</v>
      </c>
      <c r="G26" s="246" t="s">
        <v>156</v>
      </c>
      <c r="H26" s="240">
        <v>40</v>
      </c>
      <c r="I26" s="241">
        <v>1024</v>
      </c>
      <c r="J26" s="300"/>
      <c r="Y26" s="308" t="s">
        <v>203</v>
      </c>
      <c r="Z26" s="308"/>
      <c r="AA26" s="308"/>
    </row>
    <row r="27" spans="2:27" ht="16.350000000000001" customHeight="1" thickBot="1" x14ac:dyDescent="0.3">
      <c r="B27" s="237">
        <v>0</v>
      </c>
      <c r="C27" s="245" t="s">
        <v>191</v>
      </c>
      <c r="D27" s="374">
        <f t="shared" si="2"/>
        <v>2</v>
      </c>
      <c r="E27" s="374">
        <f t="shared" si="3"/>
        <v>16</v>
      </c>
      <c r="F27" s="246" t="s">
        <v>156</v>
      </c>
      <c r="G27" s="246" t="s">
        <v>156</v>
      </c>
      <c r="H27" s="240">
        <v>8</v>
      </c>
      <c r="I27" s="241">
        <v>1024</v>
      </c>
      <c r="J27" s="300"/>
      <c r="Y27" s="309" t="s">
        <v>205</v>
      </c>
      <c r="Z27" s="308"/>
      <c r="AA27" s="308"/>
    </row>
    <row r="28" spans="2:27" ht="16.350000000000001" customHeight="1" thickBot="1" x14ac:dyDescent="0.3">
      <c r="B28" s="237">
        <v>0</v>
      </c>
      <c r="C28" s="245" t="s">
        <v>193</v>
      </c>
      <c r="D28" s="374">
        <f t="shared" si="2"/>
        <v>4</v>
      </c>
      <c r="E28" s="374">
        <f t="shared" si="3"/>
        <v>32</v>
      </c>
      <c r="F28" s="246" t="s">
        <v>156</v>
      </c>
      <c r="G28" s="246" t="s">
        <v>156</v>
      </c>
      <c r="H28" s="240">
        <v>20</v>
      </c>
      <c r="I28" s="241">
        <v>1024</v>
      </c>
      <c r="J28" s="300"/>
      <c r="Y28" s="309" t="s">
        <v>207</v>
      </c>
      <c r="Z28" s="310"/>
      <c r="AA28" s="310"/>
    </row>
    <row r="29" spans="2:27" ht="16.5" thickBot="1" x14ac:dyDescent="0.3">
      <c r="B29" s="237">
        <v>0</v>
      </c>
      <c r="C29" s="245" t="s">
        <v>195</v>
      </c>
      <c r="D29" s="374">
        <f t="shared" si="2"/>
        <v>8</v>
      </c>
      <c r="E29" s="374">
        <f t="shared" si="3"/>
        <v>64</v>
      </c>
      <c r="F29" s="246" t="s">
        <v>156</v>
      </c>
      <c r="G29" s="246" t="s">
        <v>156</v>
      </c>
      <c r="H29" s="240">
        <v>40</v>
      </c>
      <c r="I29" s="241">
        <v>1024</v>
      </c>
      <c r="J29" s="300"/>
    </row>
    <row r="30" spans="2:27" ht="16.5" thickBot="1" x14ac:dyDescent="0.3">
      <c r="B30" s="236"/>
      <c r="C30" s="605" t="s">
        <v>197</v>
      </c>
      <c r="D30" s="605"/>
      <c r="E30" s="605"/>
      <c r="F30" s="605"/>
      <c r="G30" s="605"/>
      <c r="H30" s="605"/>
      <c r="I30" s="606"/>
      <c r="J30" s="300"/>
    </row>
    <row r="31" spans="2:27" ht="16.5" thickBot="1" x14ac:dyDescent="0.3">
      <c r="B31" s="237">
        <v>0</v>
      </c>
      <c r="C31" s="247" t="s">
        <v>199</v>
      </c>
      <c r="D31" s="375">
        <f>VLOOKUP(C31,$L$151:$O$275,2,FALSE)</f>
        <v>1</v>
      </c>
      <c r="E31" s="375">
        <f>VLOOKUP(C31,$L$151:$O$275,3,FALSE)</f>
        <v>3.5</v>
      </c>
      <c r="F31" s="248" t="s">
        <v>156</v>
      </c>
      <c r="G31" s="248" t="s">
        <v>156</v>
      </c>
      <c r="H31" s="240">
        <v>25</v>
      </c>
      <c r="I31" s="241">
        <v>1024</v>
      </c>
      <c r="J31" s="300"/>
    </row>
    <row r="32" spans="2:27" ht="16.5" thickBot="1" x14ac:dyDescent="0.3">
      <c r="B32" s="237">
        <v>0</v>
      </c>
      <c r="C32" s="247" t="s">
        <v>201</v>
      </c>
      <c r="D32" s="375">
        <f>VLOOKUP(C32,$L$151:$O$275,2,FALSE)</f>
        <v>2</v>
      </c>
      <c r="E32" s="375">
        <f>VLOOKUP(C32,$L$151:$O$275,3,FALSE)</f>
        <v>7</v>
      </c>
      <c r="F32" s="248" t="s">
        <v>156</v>
      </c>
      <c r="G32" s="248" t="s">
        <v>156</v>
      </c>
      <c r="H32" s="240">
        <v>50</v>
      </c>
      <c r="I32" s="241">
        <v>1024</v>
      </c>
      <c r="J32" s="300"/>
    </row>
    <row r="33" spans="2:11" ht="16.5" thickBot="1" x14ac:dyDescent="0.3">
      <c r="B33" s="237">
        <v>0</v>
      </c>
      <c r="C33" s="247" t="s">
        <v>202</v>
      </c>
      <c r="D33" s="375">
        <f>VLOOKUP(C33,$L$151:$O$275,2,FALSE)</f>
        <v>4</v>
      </c>
      <c r="E33" s="375">
        <f>VLOOKUP(C33,$L$151:$O$275,3,FALSE)</f>
        <v>14</v>
      </c>
      <c r="F33" s="248" t="s">
        <v>156</v>
      </c>
      <c r="G33" s="248" t="s">
        <v>156</v>
      </c>
      <c r="H33" s="240">
        <v>90</v>
      </c>
      <c r="I33" s="241">
        <v>2048</v>
      </c>
      <c r="J33" s="300"/>
    </row>
    <row r="34" spans="2:11" ht="16.5" thickBot="1" x14ac:dyDescent="0.3">
      <c r="B34" s="249">
        <v>0</v>
      </c>
      <c r="C34" s="247" t="s">
        <v>204</v>
      </c>
      <c r="D34" s="375">
        <f>VLOOKUP(C34,$L$151:$O$275,2,FALSE)</f>
        <v>8</v>
      </c>
      <c r="E34" s="375">
        <f>VLOOKUP(C34,$L$151:$O$275,3,FALSE)</f>
        <v>28</v>
      </c>
      <c r="F34" s="248" t="s">
        <v>156</v>
      </c>
      <c r="G34" s="248" t="s">
        <v>156</v>
      </c>
      <c r="H34" s="240">
        <v>200</v>
      </c>
      <c r="I34" s="241">
        <v>2048</v>
      </c>
      <c r="J34" s="300"/>
    </row>
    <row r="35" spans="2:11" ht="16.5" thickBot="1" x14ac:dyDescent="0.3">
      <c r="B35" s="236"/>
      <c r="C35" s="605" t="s">
        <v>206</v>
      </c>
      <c r="D35" s="605"/>
      <c r="E35" s="605"/>
      <c r="F35" s="605"/>
      <c r="G35" s="605"/>
      <c r="H35" s="605"/>
      <c r="I35" s="606"/>
      <c r="J35" s="300"/>
    </row>
    <row r="36" spans="2:11" ht="16.5" thickBot="1" x14ac:dyDescent="0.3">
      <c r="B36" s="237">
        <v>0</v>
      </c>
      <c r="C36" s="250" t="s">
        <v>208</v>
      </c>
      <c r="D36" s="372">
        <f>VLOOKUP(C36,DefineByVMFootprint!$L$151:$O$275,2,FALSE)</f>
        <v>1</v>
      </c>
      <c r="E36" s="372">
        <f>VLOOKUP(C36,DefineByVMFootprint!$L$151:$O$275,3,FALSE)</f>
        <v>3.5</v>
      </c>
      <c r="F36" s="239" t="s">
        <v>156</v>
      </c>
      <c r="G36" s="239" t="s">
        <v>156</v>
      </c>
      <c r="H36" s="240">
        <v>3</v>
      </c>
      <c r="I36" s="241">
        <v>1024</v>
      </c>
      <c r="J36" s="300"/>
    </row>
    <row r="37" spans="2:11" ht="16.5" thickBot="1" x14ac:dyDescent="0.3">
      <c r="B37" s="237">
        <v>0</v>
      </c>
      <c r="C37" s="250" t="s">
        <v>209</v>
      </c>
      <c r="D37" s="372">
        <f>VLOOKUP(C37,DefineByVMFootprint!$L$151:$O$275,2,FALSE)</f>
        <v>2</v>
      </c>
      <c r="E37" s="372">
        <f>VLOOKUP(C37,DefineByVMFootprint!$L$151:$O$275,3,FALSE)</f>
        <v>7</v>
      </c>
      <c r="F37" s="239" t="s">
        <v>156</v>
      </c>
      <c r="G37" s="239" t="s">
        <v>156</v>
      </c>
      <c r="H37" s="240">
        <v>8</v>
      </c>
      <c r="I37" s="241">
        <v>2048</v>
      </c>
      <c r="J37" s="300"/>
    </row>
    <row r="38" spans="2:11" ht="16.5" thickBot="1" x14ac:dyDescent="0.3">
      <c r="B38" s="237">
        <v>0</v>
      </c>
      <c r="C38" s="250" t="s">
        <v>210</v>
      </c>
      <c r="D38" s="372">
        <f>VLOOKUP(C38,DefineByVMFootprint!$L$151:$O$275,2,FALSE)</f>
        <v>4</v>
      </c>
      <c r="E38" s="372">
        <f>VLOOKUP(C38,DefineByVMFootprint!$L$151:$O$275,3,FALSE)</f>
        <v>14</v>
      </c>
      <c r="F38" s="239" t="s">
        <v>156</v>
      </c>
      <c r="G38" s="239" t="s">
        <v>156</v>
      </c>
      <c r="H38" s="240">
        <v>16</v>
      </c>
      <c r="I38" s="241">
        <v>2048</v>
      </c>
      <c r="J38" s="300"/>
    </row>
    <row r="39" spans="2:11" ht="16.5" thickBot="1" x14ac:dyDescent="0.3">
      <c r="B39" s="237">
        <v>0</v>
      </c>
      <c r="C39" s="250" t="s">
        <v>211</v>
      </c>
      <c r="D39" s="372">
        <f>VLOOKUP(C39,DefineByVMFootprint!$L$151:$O$275,2,FALSE)</f>
        <v>8</v>
      </c>
      <c r="E39" s="372">
        <f>VLOOKUP(C39,DefineByVMFootprint!$L$151:$O$275,3,FALSE)</f>
        <v>28</v>
      </c>
      <c r="F39" s="239" t="s">
        <v>156</v>
      </c>
      <c r="G39" s="239" t="s">
        <v>156</v>
      </c>
      <c r="H39" s="240">
        <v>32</v>
      </c>
      <c r="I39" s="241">
        <v>2048</v>
      </c>
      <c r="J39" s="300"/>
    </row>
    <row r="40" spans="2:11" ht="16.5" thickBot="1" x14ac:dyDescent="0.3">
      <c r="B40" s="236"/>
      <c r="C40" s="605" t="s">
        <v>212</v>
      </c>
      <c r="D40" s="605"/>
      <c r="E40" s="605"/>
      <c r="F40" s="605"/>
      <c r="G40" s="605"/>
      <c r="H40" s="605"/>
      <c r="I40" s="606"/>
      <c r="J40" s="300"/>
    </row>
    <row r="41" spans="2:11" ht="16.5" thickBot="1" x14ac:dyDescent="0.3">
      <c r="B41" s="237">
        <v>0</v>
      </c>
      <c r="C41" s="251" t="s">
        <v>213</v>
      </c>
      <c r="D41" s="373">
        <f>VLOOKUP(C41,$L$151:$O$275,2,FALSE)</f>
        <v>1</v>
      </c>
      <c r="E41" s="373">
        <f>VLOOKUP(C41,$L$151:$O$275,3,FALSE)</f>
        <v>3.5</v>
      </c>
      <c r="F41" s="244" t="s">
        <v>156</v>
      </c>
      <c r="G41" s="244" t="s">
        <v>156</v>
      </c>
      <c r="H41" s="240">
        <v>25</v>
      </c>
      <c r="I41" s="241">
        <v>2048</v>
      </c>
      <c r="J41" s="300"/>
    </row>
    <row r="42" spans="2:11" ht="16.5" thickBot="1" x14ac:dyDescent="0.3">
      <c r="B42" s="237">
        <v>0</v>
      </c>
      <c r="C42" s="251" t="s">
        <v>214</v>
      </c>
      <c r="D42" s="373">
        <f>VLOOKUP(C42,$L$151:$O$275,2,FALSE)</f>
        <v>2</v>
      </c>
      <c r="E42" s="373">
        <f>VLOOKUP(C42,$L$151:$O$275,3,FALSE)</f>
        <v>7</v>
      </c>
      <c r="F42" s="244" t="s">
        <v>156</v>
      </c>
      <c r="G42" s="244" t="s">
        <v>156</v>
      </c>
      <c r="H42" s="240">
        <v>50</v>
      </c>
      <c r="I42" s="241">
        <v>2048</v>
      </c>
      <c r="J42" s="311"/>
      <c r="K42" s="252"/>
    </row>
    <row r="43" spans="2:11" ht="16.5" thickBot="1" x14ac:dyDescent="0.3">
      <c r="B43" s="237">
        <v>0</v>
      </c>
      <c r="C43" s="251" t="s">
        <v>215</v>
      </c>
      <c r="D43" s="373">
        <f>VLOOKUP(C43,$L$151:$O$275,2,FALSE)</f>
        <v>4</v>
      </c>
      <c r="E43" s="373">
        <f>VLOOKUP(C43,$L$151:$O$275,3,FALSE)</f>
        <v>14</v>
      </c>
      <c r="F43" s="244" t="s">
        <v>156</v>
      </c>
      <c r="G43" s="244" t="s">
        <v>156</v>
      </c>
      <c r="H43" s="253">
        <v>105</v>
      </c>
      <c r="I43" s="241">
        <v>5120</v>
      </c>
      <c r="J43" s="311"/>
      <c r="K43" s="252"/>
    </row>
    <row r="44" spans="2:11" ht="16.5" thickBot="1" x14ac:dyDescent="0.3">
      <c r="B44" s="249">
        <v>0</v>
      </c>
      <c r="C44" s="251" t="s">
        <v>216</v>
      </c>
      <c r="D44" s="373">
        <f>VLOOKUP(C44,$L$151:$O$275,2,FALSE)</f>
        <v>8</v>
      </c>
      <c r="E44" s="373">
        <f>VLOOKUP(C44,$L$151:$O$275,3,FALSE)</f>
        <v>28</v>
      </c>
      <c r="F44" s="244" t="s">
        <v>156</v>
      </c>
      <c r="G44" s="244" t="s">
        <v>156</v>
      </c>
      <c r="H44" s="240">
        <v>200</v>
      </c>
      <c r="I44" s="241">
        <v>5120</v>
      </c>
      <c r="J44" s="311"/>
      <c r="K44" s="252"/>
    </row>
    <row r="45" spans="2:11" ht="16.5" thickBot="1" x14ac:dyDescent="0.3">
      <c r="B45" s="237">
        <v>0</v>
      </c>
      <c r="C45" s="251" t="s">
        <v>217</v>
      </c>
      <c r="D45" s="373">
        <f>VLOOKUP(C45,$L$151:$O$275,2,FALSE)</f>
        <v>16</v>
      </c>
      <c r="E45" s="373">
        <f>VLOOKUP(C45,$L$151:$O$275,3,FALSE)</f>
        <v>56</v>
      </c>
      <c r="F45" s="244" t="s">
        <v>156</v>
      </c>
      <c r="G45" s="244" t="s">
        <v>156</v>
      </c>
      <c r="H45" s="240">
        <v>400</v>
      </c>
      <c r="I45" s="241">
        <v>5120</v>
      </c>
      <c r="J45" s="300"/>
    </row>
    <row r="46" spans="2:11" ht="16.5" thickBot="1" x14ac:dyDescent="0.3">
      <c r="B46" s="236"/>
      <c r="C46" s="605" t="s">
        <v>218</v>
      </c>
      <c r="D46" s="605"/>
      <c r="E46" s="605"/>
      <c r="F46" s="605"/>
      <c r="G46" s="605"/>
      <c r="H46" s="605"/>
      <c r="I46" s="606"/>
      <c r="J46" s="300"/>
    </row>
    <row r="47" spans="2:11" ht="16.5" thickBot="1" x14ac:dyDescent="0.3">
      <c r="B47" s="237">
        <v>0</v>
      </c>
      <c r="C47" s="254" t="s">
        <v>219</v>
      </c>
      <c r="D47" s="374">
        <f t="shared" ref="D47:D58" si="4">VLOOKUP(C47,$L$151:$O$275,2,FALSE)</f>
        <v>1</v>
      </c>
      <c r="E47" s="374">
        <f t="shared" ref="E47:E58" si="5">VLOOKUP(C47,$L$151:$O$275,3,FALSE)</f>
        <v>3.5</v>
      </c>
      <c r="F47" s="246" t="s">
        <v>156</v>
      </c>
      <c r="G47" s="246" t="s">
        <v>156</v>
      </c>
      <c r="H47" s="240">
        <v>3</v>
      </c>
      <c r="I47" s="241">
        <v>2048</v>
      </c>
      <c r="J47" s="300"/>
    </row>
    <row r="48" spans="2:11" ht="16.5" thickBot="1" x14ac:dyDescent="0.3">
      <c r="B48" s="237">
        <v>0</v>
      </c>
      <c r="C48" s="254" t="s">
        <v>220</v>
      </c>
      <c r="D48" s="374">
        <f t="shared" si="4"/>
        <v>2</v>
      </c>
      <c r="E48" s="374">
        <f t="shared" si="5"/>
        <v>7</v>
      </c>
      <c r="F48" s="246" t="s">
        <v>156</v>
      </c>
      <c r="G48" s="246" t="s">
        <v>156</v>
      </c>
      <c r="H48" s="240">
        <v>8</v>
      </c>
      <c r="I48" s="241">
        <v>2048</v>
      </c>
      <c r="J48" s="312"/>
      <c r="K48" s="235"/>
    </row>
    <row r="49" spans="2:11" ht="16.5" thickBot="1" x14ac:dyDescent="0.3">
      <c r="B49" s="237">
        <v>0</v>
      </c>
      <c r="C49" s="254" t="s">
        <v>221</v>
      </c>
      <c r="D49" s="374">
        <f t="shared" si="4"/>
        <v>4</v>
      </c>
      <c r="E49" s="374">
        <f t="shared" si="5"/>
        <v>14</v>
      </c>
      <c r="F49" s="246" t="s">
        <v>156</v>
      </c>
      <c r="G49" s="246" t="s">
        <v>156</v>
      </c>
      <c r="H49" s="240">
        <v>12</v>
      </c>
      <c r="I49" s="241">
        <v>5120</v>
      </c>
      <c r="J49" s="312"/>
      <c r="K49" s="235"/>
    </row>
    <row r="50" spans="2:11" ht="16.5" thickBot="1" x14ac:dyDescent="0.3">
      <c r="B50" s="237">
        <v>0</v>
      </c>
      <c r="C50" s="254" t="s">
        <v>222</v>
      </c>
      <c r="D50" s="374">
        <f t="shared" si="4"/>
        <v>8</v>
      </c>
      <c r="E50" s="374">
        <f t="shared" si="5"/>
        <v>28</v>
      </c>
      <c r="F50" s="246" t="s">
        <v>156</v>
      </c>
      <c r="G50" s="246" t="s">
        <v>156</v>
      </c>
      <c r="H50" s="240">
        <v>24</v>
      </c>
      <c r="I50" s="241">
        <v>5120</v>
      </c>
      <c r="J50" s="312"/>
      <c r="K50" s="235"/>
    </row>
    <row r="51" spans="2:11" ht="16.5" thickBot="1" x14ac:dyDescent="0.3">
      <c r="B51" s="249">
        <v>0</v>
      </c>
      <c r="C51" s="254" t="s">
        <v>223</v>
      </c>
      <c r="D51" s="374">
        <f t="shared" si="4"/>
        <v>16</v>
      </c>
      <c r="E51" s="374">
        <f t="shared" si="5"/>
        <v>56</v>
      </c>
      <c r="F51" s="246" t="s">
        <v>156</v>
      </c>
      <c r="G51" s="246" t="s">
        <v>156</v>
      </c>
      <c r="H51" s="255">
        <v>32</v>
      </c>
      <c r="I51" s="256">
        <v>5120</v>
      </c>
      <c r="J51" s="300"/>
    </row>
    <row r="52" spans="2:11" ht="16.5" thickBot="1" x14ac:dyDescent="0.3">
      <c r="B52" s="249">
        <v>0</v>
      </c>
      <c r="C52" s="254" t="s">
        <v>224</v>
      </c>
      <c r="D52" s="374">
        <f t="shared" si="4"/>
        <v>1</v>
      </c>
      <c r="E52" s="374">
        <f t="shared" si="5"/>
        <v>14</v>
      </c>
      <c r="F52" s="246" t="s">
        <v>156</v>
      </c>
      <c r="G52" s="246" t="s">
        <v>156</v>
      </c>
      <c r="H52" s="255">
        <v>80</v>
      </c>
      <c r="I52" s="256">
        <v>5120</v>
      </c>
      <c r="J52" s="300"/>
    </row>
    <row r="53" spans="2:11" ht="16.5" thickBot="1" x14ac:dyDescent="0.3">
      <c r="B53" s="249">
        <v>0</v>
      </c>
      <c r="C53" s="254" t="s">
        <v>225</v>
      </c>
      <c r="D53" s="374">
        <f t="shared" si="4"/>
        <v>1</v>
      </c>
      <c r="E53" s="374">
        <f t="shared" si="5"/>
        <v>28</v>
      </c>
      <c r="F53" s="246" t="s">
        <v>156</v>
      </c>
      <c r="G53" s="246" t="s">
        <v>156</v>
      </c>
      <c r="H53" s="255">
        <v>64</v>
      </c>
      <c r="I53" s="256">
        <v>5120</v>
      </c>
      <c r="J53" s="300"/>
    </row>
    <row r="54" spans="2:11" ht="16.5" thickBot="1" x14ac:dyDescent="0.3">
      <c r="B54" s="249">
        <v>0</v>
      </c>
      <c r="C54" s="254" t="s">
        <v>226</v>
      </c>
      <c r="D54" s="374">
        <f t="shared" si="4"/>
        <v>2</v>
      </c>
      <c r="E54" s="374">
        <f t="shared" si="5"/>
        <v>28</v>
      </c>
      <c r="F54" s="246" t="s">
        <v>156</v>
      </c>
      <c r="G54" s="246" t="s">
        <v>156</v>
      </c>
      <c r="H54" s="255">
        <v>80</v>
      </c>
      <c r="I54" s="256">
        <v>5120</v>
      </c>
      <c r="J54" s="300"/>
    </row>
    <row r="55" spans="2:11" ht="16.5" thickBot="1" x14ac:dyDescent="0.3">
      <c r="B55" s="249">
        <v>0</v>
      </c>
      <c r="C55" s="254" t="s">
        <v>227</v>
      </c>
      <c r="D55" s="374">
        <f t="shared" si="4"/>
        <v>4</v>
      </c>
      <c r="E55" s="374">
        <f t="shared" si="5"/>
        <v>56</v>
      </c>
      <c r="F55" s="246" t="s">
        <v>156</v>
      </c>
      <c r="G55" s="246" t="s">
        <v>156</v>
      </c>
      <c r="H55" s="255">
        <v>80</v>
      </c>
      <c r="I55" s="256">
        <v>5120</v>
      </c>
      <c r="J55" s="300"/>
    </row>
    <row r="56" spans="2:11" ht="16.5" thickBot="1" x14ac:dyDescent="0.3">
      <c r="B56" s="249">
        <v>0</v>
      </c>
      <c r="C56" s="254" t="s">
        <v>228</v>
      </c>
      <c r="D56" s="374">
        <f t="shared" si="4"/>
        <v>2</v>
      </c>
      <c r="E56" s="374">
        <f t="shared" si="5"/>
        <v>56</v>
      </c>
      <c r="F56" s="246" t="s">
        <v>156</v>
      </c>
      <c r="G56" s="246" t="s">
        <v>156</v>
      </c>
      <c r="H56" s="255">
        <v>80</v>
      </c>
      <c r="I56" s="256">
        <v>5120</v>
      </c>
      <c r="J56" s="300"/>
    </row>
    <row r="57" spans="2:11" ht="16.5" thickBot="1" x14ac:dyDescent="0.3">
      <c r="B57" s="249">
        <v>0</v>
      </c>
      <c r="C57" s="254" t="s">
        <v>229</v>
      </c>
      <c r="D57" s="374">
        <f t="shared" si="4"/>
        <v>8</v>
      </c>
      <c r="E57" s="374">
        <f t="shared" si="5"/>
        <v>112</v>
      </c>
      <c r="F57" s="246" t="s">
        <v>156</v>
      </c>
      <c r="G57" s="246" t="s">
        <v>156</v>
      </c>
      <c r="H57" s="255">
        <v>64</v>
      </c>
      <c r="I57" s="256">
        <v>5120</v>
      </c>
      <c r="J57" s="300"/>
    </row>
    <row r="58" spans="2:11" ht="16.5" thickBot="1" x14ac:dyDescent="0.3">
      <c r="B58" s="249">
        <v>0</v>
      </c>
      <c r="C58" s="254" t="s">
        <v>230</v>
      </c>
      <c r="D58" s="374">
        <f t="shared" si="4"/>
        <v>4</v>
      </c>
      <c r="E58" s="374">
        <f t="shared" si="5"/>
        <v>112</v>
      </c>
      <c r="F58" s="246" t="s">
        <v>156</v>
      </c>
      <c r="G58" s="246" t="s">
        <v>156</v>
      </c>
      <c r="H58" s="255">
        <v>80</v>
      </c>
      <c r="I58" s="256">
        <v>5120</v>
      </c>
      <c r="J58" s="300"/>
    </row>
    <row r="59" spans="2:11" ht="16.5" thickBot="1" x14ac:dyDescent="0.3">
      <c r="B59" s="236"/>
      <c r="C59" s="605" t="s">
        <v>231</v>
      </c>
      <c r="D59" s="605"/>
      <c r="E59" s="605"/>
      <c r="F59" s="605"/>
      <c r="G59" s="605"/>
      <c r="H59" s="605"/>
      <c r="I59" s="606"/>
      <c r="J59" s="300"/>
    </row>
    <row r="60" spans="2:11" ht="16.5" thickBot="1" x14ac:dyDescent="0.3">
      <c r="B60" s="257">
        <v>0</v>
      </c>
      <c r="C60" s="258" t="s">
        <v>232</v>
      </c>
      <c r="D60" s="375">
        <f>VLOOKUP(C60,$L$151:$O$275,2,FALSE)</f>
        <v>2</v>
      </c>
      <c r="E60" s="375">
        <f>VLOOKUP(C60,$L$151:$O$275,3,FALSE)</f>
        <v>8</v>
      </c>
      <c r="F60" s="248" t="s">
        <v>156</v>
      </c>
      <c r="G60" s="248" t="s">
        <v>156</v>
      </c>
      <c r="H60" s="255">
        <v>50</v>
      </c>
      <c r="I60" s="241">
        <v>2048</v>
      </c>
      <c r="J60" s="300"/>
    </row>
    <row r="61" spans="2:11" ht="16.5" thickBot="1" x14ac:dyDescent="0.3">
      <c r="B61" s="257">
        <v>0</v>
      </c>
      <c r="C61" s="258" t="s">
        <v>233</v>
      </c>
      <c r="D61" s="375">
        <f>VLOOKUP(C61,$L$151:$O$275,2,FALSE)</f>
        <v>4</v>
      </c>
      <c r="E61" s="375">
        <f>VLOOKUP(C61,$L$151:$O$275,3,FALSE)</f>
        <v>16</v>
      </c>
      <c r="F61" s="248" t="s">
        <v>156</v>
      </c>
      <c r="G61" s="248" t="s">
        <v>156</v>
      </c>
      <c r="H61" s="255">
        <v>100</v>
      </c>
      <c r="I61" s="241">
        <v>2048</v>
      </c>
      <c r="J61" s="300"/>
    </row>
    <row r="62" spans="2:11" ht="16.5" thickBot="1" x14ac:dyDescent="0.3">
      <c r="B62" s="257">
        <v>0</v>
      </c>
      <c r="C62" s="258" t="s">
        <v>234</v>
      </c>
      <c r="D62" s="375">
        <f>VLOOKUP(C62,$L$151:$O$275,2,FALSE)</f>
        <v>8</v>
      </c>
      <c r="E62" s="375">
        <f>VLOOKUP(C62,$L$151:$O$275,3,FALSE)</f>
        <v>32</v>
      </c>
      <c r="F62" s="248" t="s">
        <v>156</v>
      </c>
      <c r="G62" s="248" t="s">
        <v>156</v>
      </c>
      <c r="H62" s="255">
        <v>200</v>
      </c>
      <c r="I62" s="241">
        <v>2048</v>
      </c>
      <c r="J62" s="300"/>
    </row>
    <row r="63" spans="2:11" ht="16.5" thickBot="1" x14ac:dyDescent="0.3">
      <c r="B63" s="257">
        <v>0</v>
      </c>
      <c r="C63" s="258" t="s">
        <v>235</v>
      </c>
      <c r="D63" s="375">
        <f>VLOOKUP(C63,$L$151:$O$275,2,FALSE)</f>
        <v>16</v>
      </c>
      <c r="E63" s="375">
        <f>VLOOKUP(C63,$L$151:$O$275,3,FALSE)</f>
        <v>64</v>
      </c>
      <c r="F63" s="248" t="s">
        <v>156</v>
      </c>
      <c r="G63" s="248" t="s">
        <v>156</v>
      </c>
      <c r="H63" s="255">
        <v>400</v>
      </c>
      <c r="I63" s="241">
        <v>2048</v>
      </c>
      <c r="J63" s="300"/>
    </row>
    <row r="64" spans="2:11" ht="16.5" thickBot="1" x14ac:dyDescent="0.3">
      <c r="B64" s="257">
        <v>0</v>
      </c>
      <c r="C64" s="258" t="s">
        <v>236</v>
      </c>
      <c r="D64" s="375">
        <f>VLOOKUP(C64,$L$151:$O$275,2,FALSE)</f>
        <v>32</v>
      </c>
      <c r="E64" s="375">
        <f>VLOOKUP(C64,$L$151:$O$275,3,FALSE)</f>
        <v>128</v>
      </c>
      <c r="F64" s="248" t="s">
        <v>156</v>
      </c>
      <c r="G64" s="248" t="s">
        <v>156</v>
      </c>
      <c r="H64" s="255">
        <v>800</v>
      </c>
      <c r="I64" s="241">
        <v>2048</v>
      </c>
      <c r="J64" s="300"/>
    </row>
    <row r="65" spans="2:23" ht="16.5" thickBot="1" x14ac:dyDescent="0.3">
      <c r="B65" s="602"/>
      <c r="C65" s="603"/>
      <c r="D65" s="603"/>
      <c r="E65" s="603"/>
      <c r="F65" s="603"/>
      <c r="G65" s="603"/>
      <c r="H65" s="603"/>
      <c r="I65" s="604"/>
      <c r="J65" s="296" t="s">
        <v>237</v>
      </c>
      <c r="K65" s="235"/>
    </row>
    <row r="66" spans="2:23" ht="16.5" thickBot="1" x14ac:dyDescent="0.3">
      <c r="B66" s="259"/>
      <c r="C66" s="605" t="s">
        <v>197</v>
      </c>
      <c r="D66" s="605"/>
      <c r="E66" s="605"/>
      <c r="F66" s="605"/>
      <c r="G66" s="605"/>
      <c r="H66" s="605"/>
      <c r="I66" s="606"/>
      <c r="J66" s="300"/>
    </row>
    <row r="67" spans="2:23" ht="16.5" thickBot="1" x14ac:dyDescent="0.3">
      <c r="B67" s="237">
        <v>0</v>
      </c>
      <c r="C67" s="238" t="s">
        <v>238</v>
      </c>
      <c r="D67" s="372">
        <f>VLOOKUP(C67,DefineByVMFootprint!$L$151:$O$275,2,FALSE)</f>
        <v>2</v>
      </c>
      <c r="E67" s="372">
        <f>VLOOKUP(C67,DefineByVMFootprint!$L$151:$O$275,3,FALSE)</f>
        <v>14</v>
      </c>
      <c r="F67" s="239" t="s">
        <v>156</v>
      </c>
      <c r="G67" s="239" t="s">
        <v>156</v>
      </c>
      <c r="H67" s="240">
        <v>50</v>
      </c>
      <c r="I67" s="241">
        <v>2048</v>
      </c>
      <c r="J67" s="299" t="s">
        <v>239</v>
      </c>
      <c r="K67" s="242"/>
    </row>
    <row r="68" spans="2:23" ht="16.5" thickBot="1" x14ac:dyDescent="0.3">
      <c r="B68" s="237">
        <v>0</v>
      </c>
      <c r="C68" s="238" t="s">
        <v>240</v>
      </c>
      <c r="D68" s="372">
        <f>VLOOKUP(C68,DefineByVMFootprint!$L$151:$O$275,2,FALSE)</f>
        <v>4</v>
      </c>
      <c r="E68" s="372">
        <f>VLOOKUP(C68,DefineByVMFootprint!$L$151:$O$275,3,FALSE)</f>
        <v>28</v>
      </c>
      <c r="F68" s="239" t="s">
        <v>156</v>
      </c>
      <c r="G68" s="239" t="s">
        <v>156</v>
      </c>
      <c r="H68" s="240">
        <v>90</v>
      </c>
      <c r="I68" s="241">
        <v>2048</v>
      </c>
      <c r="J68" s="299" t="s">
        <v>241</v>
      </c>
      <c r="K68" s="242"/>
    </row>
    <row r="69" spans="2:23" ht="16.5" thickBot="1" x14ac:dyDescent="0.3">
      <c r="B69" s="237">
        <v>0</v>
      </c>
      <c r="C69" s="238" t="s">
        <v>242</v>
      </c>
      <c r="D69" s="372">
        <f>VLOOKUP(C69,DefineByVMFootprint!$L$151:$O$275,2,FALSE)</f>
        <v>8</v>
      </c>
      <c r="E69" s="372">
        <f>VLOOKUP(C69,DefineByVMFootprint!$L$151:$O$275,3,FALSE)</f>
        <v>56</v>
      </c>
      <c r="F69" s="239" t="s">
        <v>156</v>
      </c>
      <c r="G69" s="239" t="s">
        <v>156</v>
      </c>
      <c r="H69" s="240">
        <v>200</v>
      </c>
      <c r="I69" s="241">
        <v>5120</v>
      </c>
      <c r="J69" s="299" t="s">
        <v>243</v>
      </c>
      <c r="K69" s="242"/>
    </row>
    <row r="70" spans="2:23" ht="16.5" thickBot="1" x14ac:dyDescent="0.3">
      <c r="B70" s="237">
        <v>0</v>
      </c>
      <c r="C70" s="238" t="s">
        <v>244</v>
      </c>
      <c r="D70" s="372">
        <f>VLOOKUP(C70,DefineByVMFootprint!$L$151:$O$275,2,FALSE)</f>
        <v>16</v>
      </c>
      <c r="E70" s="372">
        <f>VLOOKUP(C70,DefineByVMFootprint!$L$151:$O$275,3,FALSE)</f>
        <v>112</v>
      </c>
      <c r="F70" s="239" t="s">
        <v>156</v>
      </c>
      <c r="G70" s="239" t="s">
        <v>156</v>
      </c>
      <c r="H70" s="240">
        <v>400</v>
      </c>
      <c r="I70" s="241">
        <v>5120</v>
      </c>
      <c r="J70" s="299" t="s">
        <v>245</v>
      </c>
      <c r="K70" s="242"/>
    </row>
    <row r="71" spans="2:23" ht="18" customHeight="1" thickBot="1" x14ac:dyDescent="0.35">
      <c r="B71" s="236"/>
      <c r="C71" s="605" t="s">
        <v>206</v>
      </c>
      <c r="D71" s="605"/>
      <c r="E71" s="605"/>
      <c r="F71" s="605"/>
      <c r="G71" s="605"/>
      <c r="H71" s="605"/>
      <c r="I71" s="606"/>
      <c r="J71" s="300"/>
      <c r="M71" s="260"/>
      <c r="N71" s="261"/>
      <c r="O71" s="261"/>
      <c r="P71" s="262" t="s">
        <v>704</v>
      </c>
      <c r="Q71" s="376" t="str">
        <f>Selected_VM_SKU</f>
        <v>Example 6</v>
      </c>
      <c r="R71" s="263"/>
      <c r="S71" s="264"/>
      <c r="T71" s="607" t="s">
        <v>246</v>
      </c>
      <c r="U71" s="608"/>
      <c r="V71" s="608"/>
      <c r="W71" s="608"/>
    </row>
    <row r="72" spans="2:23" ht="16.5" thickBot="1" x14ac:dyDescent="0.3">
      <c r="B72" s="237">
        <v>0</v>
      </c>
      <c r="C72" s="243" t="s">
        <v>247</v>
      </c>
      <c r="D72" s="373">
        <f>VLOOKUP(C72,DefineByVMFootprint!$L$151:$O$275,2,FALSE)</f>
        <v>2</v>
      </c>
      <c r="E72" s="373">
        <f>VLOOKUP(C72,DefineByVMFootprint!$L$151:$O$275,3,FALSE)</f>
        <v>14</v>
      </c>
      <c r="F72" s="244" t="s">
        <v>156</v>
      </c>
      <c r="G72" s="244" t="s">
        <v>156</v>
      </c>
      <c r="H72" s="240">
        <v>16</v>
      </c>
      <c r="I72" s="241">
        <v>2048</v>
      </c>
      <c r="J72" s="300"/>
      <c r="M72" s="265"/>
      <c r="N72" s="266" t="s">
        <v>248</v>
      </c>
      <c r="O72" s="267"/>
      <c r="P72" s="266" t="s">
        <v>249</v>
      </c>
      <c r="Q72" s="268"/>
      <c r="R72" s="266" t="s">
        <v>406</v>
      </c>
      <c r="S72" s="269"/>
    </row>
    <row r="73" spans="2:23" ht="16.5" thickBot="1" x14ac:dyDescent="0.3">
      <c r="B73" s="237">
        <v>0</v>
      </c>
      <c r="C73" s="243" t="s">
        <v>251</v>
      </c>
      <c r="D73" s="373">
        <f>VLOOKUP(C73,DefineByVMFootprint!$L$151:$O$275,2,FALSE)</f>
        <v>4</v>
      </c>
      <c r="E73" s="373">
        <f>VLOOKUP(C73,DefineByVMFootprint!$L$151:$O$275,3,FALSE)</f>
        <v>28</v>
      </c>
      <c r="F73" s="244" t="s">
        <v>156</v>
      </c>
      <c r="G73" s="244" t="s">
        <v>156</v>
      </c>
      <c r="H73" s="240">
        <v>24</v>
      </c>
      <c r="I73" s="241">
        <v>2048</v>
      </c>
      <c r="J73" s="300"/>
      <c r="M73" s="270" t="s">
        <v>252</v>
      </c>
      <c r="N73" s="377">
        <f>VLOOKUP(Selected_VM_SKU,SKUsRecommendationPage!$D$47:$J$52,3,FALSE)</f>
        <v>1294.7</v>
      </c>
      <c r="O73" s="271"/>
      <c r="P73" s="378">
        <f>Total_Allocated_VM_Cores + Total_Allocated_GPUVM_Cores</f>
        <v>0</v>
      </c>
      <c r="Q73" s="271"/>
      <c r="R73" s="377">
        <f>(Total_VM_CPU_Cores)-(Consumed_VM_CPU_Cores)</f>
        <v>1294.7</v>
      </c>
      <c r="S73" s="272"/>
    </row>
    <row r="74" spans="2:23" ht="16.5" thickBot="1" x14ac:dyDescent="0.3">
      <c r="B74" s="237">
        <v>0</v>
      </c>
      <c r="C74" s="243" t="s">
        <v>253</v>
      </c>
      <c r="D74" s="373">
        <f>VLOOKUP(C74,DefineByVMFootprint!$L$151:$O$275,2,FALSE)</f>
        <v>8</v>
      </c>
      <c r="E74" s="373">
        <f>VLOOKUP(C74,DefineByVMFootprint!$L$151:$O$275,3,FALSE)</f>
        <v>56</v>
      </c>
      <c r="F74" s="244" t="s">
        <v>156</v>
      </c>
      <c r="G74" s="244" t="s">
        <v>156</v>
      </c>
      <c r="H74" s="240">
        <v>64</v>
      </c>
      <c r="I74" s="241">
        <v>5120</v>
      </c>
      <c r="J74" s="300"/>
      <c r="M74" s="270" t="s">
        <v>146</v>
      </c>
      <c r="N74" s="377">
        <f>VLOOKUP(Selected_VM_SKU,SKUsRecommendationPage!$D$47:$J$52,4,FALSE)</f>
        <v>19064</v>
      </c>
      <c r="O74" s="273" t="s">
        <v>254</v>
      </c>
      <c r="P74" s="378">
        <f>Total_Allocated_VM_Memory + Total_Allocated_GPU_VM_Memory</f>
        <v>0</v>
      </c>
      <c r="Q74" s="271" t="s">
        <v>254</v>
      </c>
      <c r="R74" s="381">
        <f>(VLOOKUP(Selected_VM_SKU,SKUsRecommendationPage!D56:E61,2,FALSE)*HLOOKUP(Selected_VM_SKU,DefinedSolutionSKUs!C3:H12,10,FALSE))-AzureStackInfrastructureTotalMemory-Consumed_VM_Memory - VLOOKUP(Selected_VM_SKU,SKUsRecommendationPage!D47:K52,8,FALSE)</f>
        <v>19064</v>
      </c>
      <c r="S74" s="274" t="s">
        <v>254</v>
      </c>
      <c r="T74" s="275"/>
    </row>
    <row r="75" spans="2:23" ht="16.5" thickBot="1" x14ac:dyDescent="0.3">
      <c r="B75" s="237">
        <v>0</v>
      </c>
      <c r="C75" s="243" t="s">
        <v>255</v>
      </c>
      <c r="D75" s="373">
        <f>VLOOKUP(C75,DefineByVMFootprint!$L$151:$O$275,2,FALSE)</f>
        <v>16</v>
      </c>
      <c r="E75" s="373">
        <f>VLOOKUP(C75,DefineByVMFootprint!$L$151:$O$275,3,FALSE)</f>
        <v>112</v>
      </c>
      <c r="F75" s="244" t="s">
        <v>156</v>
      </c>
      <c r="G75" s="244" t="s">
        <v>156</v>
      </c>
      <c r="H75" s="240">
        <v>128</v>
      </c>
      <c r="I75" s="241">
        <v>5120</v>
      </c>
      <c r="J75" s="300"/>
      <c r="M75" s="270" t="s">
        <v>256</v>
      </c>
      <c r="N75" s="377">
        <f>VLOOKUP(Selected_VM_SKU,SKUsRecommendationPage!$D$47:$J$52,5,FALSE)</f>
        <v>85.681676864624023</v>
      </c>
      <c r="O75" s="273" t="s">
        <v>257</v>
      </c>
      <c r="P75" s="378">
        <f>Total_Allocated_VM_TempDisk + Total_Allocated_GPU_VM_TempDisk</f>
        <v>0</v>
      </c>
      <c r="Q75" s="271" t="s">
        <v>254</v>
      </c>
      <c r="R75" s="377">
        <f>((Total_VM_Temp_Storage*1024)-Consumed_VM_Temp_Storage)/1024</f>
        <v>85.681676864624023</v>
      </c>
      <c r="S75" s="274" t="s">
        <v>257</v>
      </c>
    </row>
    <row r="76" spans="2:23" ht="16.5" thickBot="1" x14ac:dyDescent="0.3">
      <c r="B76" s="236"/>
      <c r="C76" s="605" t="s">
        <v>212</v>
      </c>
      <c r="D76" s="605"/>
      <c r="E76" s="605"/>
      <c r="F76" s="605"/>
      <c r="G76" s="605"/>
      <c r="H76" s="605"/>
      <c r="I76" s="606"/>
      <c r="J76" s="300"/>
      <c r="M76" s="276" t="s">
        <v>258</v>
      </c>
      <c r="N76" s="377">
        <f>VLOOKUP(Selected_VM_SKU,SKUsRecommendationPage!$D$47:$J$52,6,FALSE)</f>
        <v>767.7171230316161</v>
      </c>
      <c r="O76" s="273" t="s">
        <v>257</v>
      </c>
      <c r="P76" s="379">
        <f>Total_Allocated_VM_Disk + Total_Allocated_GPU_VM_Disk</f>
        <v>0</v>
      </c>
      <c r="Q76" s="271" t="s">
        <v>254</v>
      </c>
      <c r="R76" s="377">
        <f>((Total_VM_External_Storage*1024)-Consumed_VM_External_Storage)/1024</f>
        <v>767.7171230316161</v>
      </c>
      <c r="S76" s="274" t="s">
        <v>257</v>
      </c>
      <c r="T76" s="275"/>
      <c r="V76" s="277"/>
      <c r="W76" s="277"/>
    </row>
    <row r="77" spans="2:23" ht="16.5" thickBot="1" x14ac:dyDescent="0.3">
      <c r="B77" s="237">
        <v>0</v>
      </c>
      <c r="C77" s="245" t="s">
        <v>259</v>
      </c>
      <c r="D77" s="374">
        <f>VLOOKUP(C77,DefineByVMFootprint!$L$148:$O$275,2,FALSE)</f>
        <v>2</v>
      </c>
      <c r="E77" s="374">
        <f>VLOOKUP(C77,DefineByVMFootprint!$L$148:$O$275,3,FALSE)</f>
        <v>14</v>
      </c>
      <c r="F77" s="246" t="s">
        <v>156</v>
      </c>
      <c r="G77" s="246" t="s">
        <v>156</v>
      </c>
      <c r="H77" s="240">
        <v>50</v>
      </c>
      <c r="I77" s="241">
        <v>8192</v>
      </c>
      <c r="J77" s="300"/>
      <c r="M77" s="278" t="s">
        <v>89</v>
      </c>
      <c r="N77" s="377">
        <f>VLOOKUP(Selected_VM_SKU,SKUsRecommendationPage!$D$47:$J$52,7,FALSE)</f>
        <v>32</v>
      </c>
      <c r="O77" s="279" t="s">
        <v>254</v>
      </c>
      <c r="P77" s="380">
        <f xml:space="preserve"> Total_Allocated_VM_GPU</f>
        <v>0</v>
      </c>
      <c r="Q77" s="279" t="s">
        <v>254</v>
      </c>
      <c r="R77" s="377">
        <f>Total_VM_GPU_Number - Consumed_VM_GPU_Number</f>
        <v>32</v>
      </c>
      <c r="S77" s="280" t="s">
        <v>254</v>
      </c>
      <c r="V77" s="277"/>
      <c r="W77" s="277"/>
    </row>
    <row r="78" spans="2:23" ht="16.5" customHeight="1" thickBot="1" x14ac:dyDescent="0.3">
      <c r="B78" s="237">
        <v>0</v>
      </c>
      <c r="C78" s="245" t="s">
        <v>260</v>
      </c>
      <c r="D78" s="374">
        <f>VLOOKUP(C78,DefineByVMFootprint!$L$148:$O$275,2,FALSE)</f>
        <v>4</v>
      </c>
      <c r="E78" s="374">
        <f>VLOOKUP(C78,DefineByVMFootprint!$L$148:$O$275,3,FALSE)</f>
        <v>28</v>
      </c>
      <c r="F78" s="246" t="s">
        <v>156</v>
      </c>
      <c r="G78" s="246" t="s">
        <v>156</v>
      </c>
      <c r="H78" s="240">
        <v>75</v>
      </c>
      <c r="I78" s="241">
        <v>8192</v>
      </c>
      <c r="J78" s="300"/>
      <c r="V78" s="277"/>
      <c r="W78" s="277"/>
    </row>
    <row r="79" spans="2:23" ht="16.5" customHeight="1" thickBot="1" x14ac:dyDescent="0.3">
      <c r="B79" s="237">
        <v>0</v>
      </c>
      <c r="C79" s="245" t="s">
        <v>261</v>
      </c>
      <c r="D79" s="374">
        <f>VLOOKUP(C79,DefineByVMFootprint!$L$148:$O$275,2,FALSE)</f>
        <v>8</v>
      </c>
      <c r="E79" s="374">
        <f>VLOOKUP(C79,DefineByVMFootprint!$L$148:$O$275,3,FALSE)</f>
        <v>56</v>
      </c>
      <c r="F79" s="246" t="s">
        <v>156</v>
      </c>
      <c r="G79" s="246" t="s">
        <v>156</v>
      </c>
      <c r="H79" s="240">
        <v>240</v>
      </c>
      <c r="I79" s="241">
        <v>16384</v>
      </c>
      <c r="J79" s="300"/>
      <c r="P79" s="281"/>
      <c r="R79" s="282"/>
      <c r="V79" s="277"/>
      <c r="W79" s="277"/>
    </row>
    <row r="80" spans="2:23" ht="16.5" customHeight="1" thickBot="1" x14ac:dyDescent="0.3">
      <c r="B80" s="237">
        <v>0</v>
      </c>
      <c r="C80" s="245" t="s">
        <v>262</v>
      </c>
      <c r="D80" s="374">
        <f>VLOOKUP(C80,DefineByVMFootprint!$L$148:$O$275,2,FALSE)</f>
        <v>16</v>
      </c>
      <c r="E80" s="374">
        <f>VLOOKUP(C80,DefineByVMFootprint!$L$148:$O$275,3,FALSE)</f>
        <v>112</v>
      </c>
      <c r="F80" s="246" t="s">
        <v>156</v>
      </c>
      <c r="G80" s="246" t="s">
        <v>156</v>
      </c>
      <c r="H80" s="240">
        <v>400</v>
      </c>
      <c r="I80" s="241">
        <v>16384</v>
      </c>
      <c r="J80" s="300"/>
      <c r="V80" s="277"/>
      <c r="W80" s="277"/>
    </row>
    <row r="81" spans="2:23" ht="16.5" customHeight="1" thickBot="1" x14ac:dyDescent="0.3">
      <c r="B81" s="236"/>
      <c r="C81" s="605" t="s">
        <v>218</v>
      </c>
      <c r="D81" s="605"/>
      <c r="E81" s="605"/>
      <c r="F81" s="605"/>
      <c r="G81" s="605"/>
      <c r="H81" s="605"/>
      <c r="I81" s="606"/>
      <c r="J81" s="300"/>
      <c r="V81" s="277"/>
      <c r="W81" s="277"/>
    </row>
    <row r="82" spans="2:23" ht="16.5" customHeight="1" thickBot="1" x14ac:dyDescent="0.3">
      <c r="B82" s="237">
        <v>0</v>
      </c>
      <c r="C82" s="247" t="s">
        <v>263</v>
      </c>
      <c r="D82" s="375">
        <f>VLOOKUP(C82,$L$151:$O$275,2,FALSE)</f>
        <v>2</v>
      </c>
      <c r="E82" s="375">
        <f>VLOOKUP(C82,$L$151:$O$275,3,FALSE)</f>
        <v>14</v>
      </c>
      <c r="F82" s="248" t="s">
        <v>156</v>
      </c>
      <c r="G82" s="248" t="s">
        <v>156</v>
      </c>
      <c r="H82" s="240">
        <v>12</v>
      </c>
      <c r="I82" s="241">
        <v>8192</v>
      </c>
      <c r="J82" s="300"/>
      <c r="V82" s="277"/>
      <c r="W82" s="277"/>
    </row>
    <row r="83" spans="2:23" ht="16.5" customHeight="1" thickBot="1" x14ac:dyDescent="0.3">
      <c r="B83" s="237">
        <v>0</v>
      </c>
      <c r="C83" s="247" t="s">
        <v>264</v>
      </c>
      <c r="D83" s="375">
        <f>VLOOKUP(C83,$L$151:$O$275,2,FALSE)</f>
        <v>4</v>
      </c>
      <c r="E83" s="375">
        <f>VLOOKUP(C83,$L$151:$O$275,3,FALSE)</f>
        <v>28</v>
      </c>
      <c r="F83" s="248" t="s">
        <v>156</v>
      </c>
      <c r="G83" s="248" t="s">
        <v>156</v>
      </c>
      <c r="H83" s="240">
        <v>16</v>
      </c>
      <c r="I83" s="241">
        <v>8192</v>
      </c>
      <c r="J83" s="300"/>
    </row>
    <row r="84" spans="2:23" ht="16.5" customHeight="1" thickBot="1" x14ac:dyDescent="0.3">
      <c r="B84" s="237">
        <v>0</v>
      </c>
      <c r="C84" s="247" t="s">
        <v>265</v>
      </c>
      <c r="D84" s="375">
        <f>VLOOKUP(C84,$L$151:$O$275,2,FALSE)</f>
        <v>8</v>
      </c>
      <c r="E84" s="375">
        <f>VLOOKUP(C84,$L$151:$O$275,3,FALSE)</f>
        <v>56</v>
      </c>
      <c r="F84" s="248" t="s">
        <v>156</v>
      </c>
      <c r="G84" s="248" t="s">
        <v>156</v>
      </c>
      <c r="H84" s="240">
        <v>64</v>
      </c>
      <c r="I84" s="241">
        <v>16384</v>
      </c>
      <c r="J84" s="300"/>
    </row>
    <row r="85" spans="2:23" ht="16.5" customHeight="1" thickBot="1" x14ac:dyDescent="0.3">
      <c r="B85" s="249">
        <v>0</v>
      </c>
      <c r="C85" s="283" t="s">
        <v>266</v>
      </c>
      <c r="D85" s="375">
        <f>VLOOKUP(C85,$L$151:$O$275,2,FALSE)</f>
        <v>16</v>
      </c>
      <c r="E85" s="375">
        <f>VLOOKUP(C85,$L$151:$O$275,3,FALSE)</f>
        <v>112</v>
      </c>
      <c r="F85" s="248" t="s">
        <v>156</v>
      </c>
      <c r="G85" s="248" t="s">
        <v>156</v>
      </c>
      <c r="H85" s="255">
        <v>128</v>
      </c>
      <c r="I85" s="256">
        <v>16384</v>
      </c>
      <c r="J85" s="300"/>
    </row>
    <row r="86" spans="2:23" ht="16.5" customHeight="1" thickBot="1" x14ac:dyDescent="0.3">
      <c r="B86" s="236"/>
      <c r="C86" s="605" t="s">
        <v>267</v>
      </c>
      <c r="D86" s="605"/>
      <c r="E86" s="605"/>
      <c r="F86" s="605"/>
      <c r="G86" s="605"/>
      <c r="H86" s="605"/>
      <c r="I86" s="606"/>
      <c r="J86" s="300"/>
    </row>
    <row r="87" spans="2:23" ht="16.5" customHeight="1" thickBot="1" x14ac:dyDescent="0.3">
      <c r="B87" s="237">
        <v>0</v>
      </c>
      <c r="C87" s="238" t="s">
        <v>268</v>
      </c>
      <c r="D87" s="372">
        <f>VLOOKUP(C87,$L$151:$O$275,2,FALSE)</f>
        <v>2</v>
      </c>
      <c r="E87" s="372">
        <f>VLOOKUP(C87,$L$151:$O$275,3,FALSE)</f>
        <v>16</v>
      </c>
      <c r="F87" s="239" t="s">
        <v>156</v>
      </c>
      <c r="G87" s="239" t="s">
        <v>156</v>
      </c>
      <c r="H87" s="240">
        <v>50</v>
      </c>
      <c r="I87" s="256">
        <v>2048</v>
      </c>
      <c r="J87" s="300"/>
    </row>
    <row r="88" spans="2:23" ht="16.5" customHeight="1" thickBot="1" x14ac:dyDescent="0.3">
      <c r="B88" s="237">
        <v>0</v>
      </c>
      <c r="C88" s="238" t="s">
        <v>269</v>
      </c>
      <c r="D88" s="372">
        <f>VLOOKUP(C88,$L$151:$O$275,2,FALSE)</f>
        <v>4</v>
      </c>
      <c r="E88" s="372">
        <f>VLOOKUP(C88,$L$151:$O$275,3,FALSE)</f>
        <v>32</v>
      </c>
      <c r="F88" s="239" t="s">
        <v>156</v>
      </c>
      <c r="G88" s="239" t="s">
        <v>156</v>
      </c>
      <c r="H88" s="240">
        <v>100</v>
      </c>
      <c r="I88" s="256">
        <v>2048</v>
      </c>
      <c r="J88" s="300"/>
    </row>
    <row r="89" spans="2:23" ht="16.5" customHeight="1" thickBot="1" x14ac:dyDescent="0.3">
      <c r="B89" s="237">
        <v>0</v>
      </c>
      <c r="C89" s="238" t="s">
        <v>270</v>
      </c>
      <c r="D89" s="372">
        <f>VLOOKUP(C89,$L$151:$O$275,2,FALSE)</f>
        <v>8</v>
      </c>
      <c r="E89" s="372">
        <f>VLOOKUP(C89,$L$151:$O$275,3,FALSE)</f>
        <v>64</v>
      </c>
      <c r="F89" s="239" t="s">
        <v>156</v>
      </c>
      <c r="G89" s="239" t="s">
        <v>156</v>
      </c>
      <c r="H89" s="240">
        <v>200</v>
      </c>
      <c r="I89" s="256">
        <v>8192</v>
      </c>
      <c r="J89" s="300"/>
      <c r="W89" s="284"/>
    </row>
    <row r="90" spans="2:23" ht="16.5" customHeight="1" thickBot="1" x14ac:dyDescent="0.3">
      <c r="B90" s="237">
        <v>0</v>
      </c>
      <c r="C90" s="238" t="s">
        <v>271</v>
      </c>
      <c r="D90" s="372">
        <f>VLOOKUP(C90,$L$151:$O$275,2,FALSE)</f>
        <v>16</v>
      </c>
      <c r="E90" s="372">
        <f>VLOOKUP(C90,$L$151:$O$275,3,FALSE)</f>
        <v>128</v>
      </c>
      <c r="F90" s="239" t="s">
        <v>156</v>
      </c>
      <c r="G90" s="239" t="s">
        <v>156</v>
      </c>
      <c r="H90" s="240">
        <v>400</v>
      </c>
      <c r="I90" s="256">
        <v>8192</v>
      </c>
      <c r="J90" s="300"/>
    </row>
    <row r="91" spans="2:23" ht="16.5" customHeight="1" thickBot="1" x14ac:dyDescent="0.3">
      <c r="B91" s="237">
        <v>0</v>
      </c>
      <c r="C91" s="238" t="s">
        <v>272</v>
      </c>
      <c r="D91" s="372">
        <f>VLOOKUP(C91,$L$151:$O$275,2,FALSE)</f>
        <v>20</v>
      </c>
      <c r="E91" s="372">
        <f>VLOOKUP(C91,$L$151:$O$275,3,FALSE)</f>
        <v>160</v>
      </c>
      <c r="F91" s="239" t="s">
        <v>156</v>
      </c>
      <c r="G91" s="239" t="s">
        <v>156</v>
      </c>
      <c r="H91" s="240">
        <v>500</v>
      </c>
      <c r="I91" s="256">
        <v>16384</v>
      </c>
      <c r="J91" s="300"/>
    </row>
    <row r="92" spans="2:23" ht="16.5" customHeight="1" thickBot="1" x14ac:dyDescent="0.3">
      <c r="B92" s="652"/>
      <c r="C92" s="653"/>
      <c r="D92" s="653"/>
      <c r="E92" s="653"/>
      <c r="F92" s="653"/>
      <c r="G92" s="653"/>
      <c r="H92" s="653"/>
      <c r="I92" s="654"/>
      <c r="J92" s="296" t="s">
        <v>273</v>
      </c>
      <c r="K92" s="235"/>
    </row>
    <row r="93" spans="2:23" ht="16.5" customHeight="1" thickBot="1" x14ac:dyDescent="0.3">
      <c r="B93" s="259"/>
      <c r="C93" s="605" t="s">
        <v>274</v>
      </c>
      <c r="D93" s="605"/>
      <c r="E93" s="605"/>
      <c r="F93" s="605"/>
      <c r="G93" s="605"/>
      <c r="H93" s="605"/>
      <c r="I93" s="606"/>
      <c r="J93" s="300"/>
    </row>
    <row r="94" spans="2:23" ht="16.5" customHeight="1" thickBot="1" x14ac:dyDescent="0.3">
      <c r="B94" s="237">
        <v>0</v>
      </c>
      <c r="C94" s="251" t="s">
        <v>275</v>
      </c>
      <c r="D94" s="373">
        <f>VLOOKUP(C94,$L$151:$O$275,2,FALSE)</f>
        <v>1</v>
      </c>
      <c r="E94" s="373">
        <f>VLOOKUP(C94,$L$151:$O$275,3,FALSE)</f>
        <v>2</v>
      </c>
      <c r="F94" s="244" t="s">
        <v>156</v>
      </c>
      <c r="G94" s="244" t="s">
        <v>156</v>
      </c>
      <c r="H94" s="240">
        <v>8</v>
      </c>
      <c r="I94" s="241">
        <v>2048</v>
      </c>
      <c r="J94" s="300"/>
      <c r="R94" s="285"/>
      <c r="S94" s="285"/>
    </row>
    <row r="95" spans="2:23" ht="16.5" customHeight="1" thickBot="1" x14ac:dyDescent="0.3">
      <c r="B95" s="237">
        <v>0</v>
      </c>
      <c r="C95" s="251" t="s">
        <v>276</v>
      </c>
      <c r="D95" s="373">
        <f>VLOOKUP(C95,$L$151:$O$275,2,FALSE)</f>
        <v>2</v>
      </c>
      <c r="E95" s="373">
        <f>VLOOKUP(C95,$L$151:$O$275,3,FALSE)</f>
        <v>4</v>
      </c>
      <c r="F95" s="244" t="s">
        <v>156</v>
      </c>
      <c r="G95" s="244" t="s">
        <v>156</v>
      </c>
      <c r="H95" s="240">
        <v>16</v>
      </c>
      <c r="I95" s="241">
        <v>2048</v>
      </c>
      <c r="J95" s="300"/>
      <c r="R95" s="285"/>
      <c r="S95" s="285"/>
    </row>
    <row r="96" spans="2:23" ht="16.5" customHeight="1" thickBot="1" x14ac:dyDescent="0.3">
      <c r="B96" s="237">
        <v>0</v>
      </c>
      <c r="C96" s="251" t="s">
        <v>277</v>
      </c>
      <c r="D96" s="373">
        <f>VLOOKUP(C96,$L$151:$O$275,2,FALSE)</f>
        <v>4</v>
      </c>
      <c r="E96" s="373">
        <f>VLOOKUP(C96,$L$151:$O$275,3,FALSE)</f>
        <v>8</v>
      </c>
      <c r="F96" s="244" t="s">
        <v>156</v>
      </c>
      <c r="G96" s="244" t="s">
        <v>156</v>
      </c>
      <c r="H96" s="240">
        <v>32</v>
      </c>
      <c r="I96" s="241">
        <v>2048</v>
      </c>
      <c r="J96" s="300"/>
      <c r="R96" s="285"/>
      <c r="S96" s="285"/>
    </row>
    <row r="97" spans="1:150" ht="16.5" customHeight="1" thickBot="1" x14ac:dyDescent="0.3">
      <c r="B97" s="237">
        <v>0</v>
      </c>
      <c r="C97" s="251" t="s">
        <v>278</v>
      </c>
      <c r="D97" s="373">
        <f>VLOOKUP(C97,$L$151:$O$275,2,FALSE)</f>
        <v>8</v>
      </c>
      <c r="E97" s="373">
        <f>VLOOKUP(C97,$L$151:$O$275,3,FALSE)</f>
        <v>16</v>
      </c>
      <c r="F97" s="244" t="s">
        <v>156</v>
      </c>
      <c r="G97" s="244" t="s">
        <v>156</v>
      </c>
      <c r="H97" s="240">
        <v>64</v>
      </c>
      <c r="I97" s="241">
        <v>8192</v>
      </c>
      <c r="J97" s="300"/>
      <c r="R97" s="285"/>
      <c r="S97" s="285"/>
    </row>
    <row r="98" spans="1:150" ht="16.5" customHeight="1" thickBot="1" x14ac:dyDescent="0.3">
      <c r="B98" s="237">
        <v>0</v>
      </c>
      <c r="C98" s="251" t="s">
        <v>279</v>
      </c>
      <c r="D98" s="373">
        <f>VLOOKUP(C98,$L$151:$O$275,2,FALSE)</f>
        <v>16</v>
      </c>
      <c r="E98" s="373">
        <f>VLOOKUP(C98,$L$151:$O$275,3,FALSE)</f>
        <v>32</v>
      </c>
      <c r="F98" s="244" t="s">
        <v>156</v>
      </c>
      <c r="G98" s="244" t="s">
        <v>156</v>
      </c>
      <c r="H98" s="240">
        <v>128</v>
      </c>
      <c r="I98" s="241">
        <v>8192</v>
      </c>
      <c r="J98" s="300"/>
      <c r="R98" s="285"/>
      <c r="S98" s="285"/>
    </row>
    <row r="99" spans="1:150" ht="16.5" customHeight="1" thickBot="1" x14ac:dyDescent="0.3">
      <c r="B99" s="236"/>
      <c r="C99" s="605" t="s">
        <v>280</v>
      </c>
      <c r="D99" s="605"/>
      <c r="E99" s="605"/>
      <c r="F99" s="605"/>
      <c r="G99" s="605"/>
      <c r="H99" s="605"/>
      <c r="I99" s="606"/>
      <c r="J99" s="300"/>
      <c r="R99" s="285"/>
      <c r="S99" s="285"/>
    </row>
    <row r="100" spans="1:150" ht="15.75" customHeight="1" thickBot="1" x14ac:dyDescent="0.3">
      <c r="B100" s="237">
        <v>0</v>
      </c>
      <c r="C100" s="245" t="s">
        <v>281</v>
      </c>
      <c r="D100" s="374">
        <f>VLOOKUP(C100,$L$151:$O$275,2,FALSE)</f>
        <v>1</v>
      </c>
      <c r="E100" s="374">
        <f>VLOOKUP(C100,$L$151:$O$275,3,FALSE)</f>
        <v>2</v>
      </c>
      <c r="F100" s="246" t="s">
        <v>156</v>
      </c>
      <c r="G100" s="246" t="s">
        <v>156</v>
      </c>
      <c r="H100" s="240">
        <v>2</v>
      </c>
      <c r="I100" s="241">
        <v>2048</v>
      </c>
      <c r="J100" s="300"/>
    </row>
    <row r="101" spans="1:150" ht="18.75" customHeight="1" thickBot="1" x14ac:dyDescent="0.3">
      <c r="B101" s="237">
        <v>0</v>
      </c>
      <c r="C101" s="245" t="s">
        <v>282</v>
      </c>
      <c r="D101" s="374">
        <f>VLOOKUP(C101,$L$151:$O$275,2,FALSE)</f>
        <v>2</v>
      </c>
      <c r="E101" s="374">
        <f>VLOOKUP(C101,$L$151:$O$275,3,FALSE)</f>
        <v>4</v>
      </c>
      <c r="F101" s="246" t="s">
        <v>156</v>
      </c>
      <c r="G101" s="246" t="s">
        <v>156</v>
      </c>
      <c r="H101" s="240">
        <v>4</v>
      </c>
      <c r="I101" s="241">
        <v>2048</v>
      </c>
      <c r="J101" s="300"/>
    </row>
    <row r="102" spans="1:150" s="310" customFormat="1" ht="16.5" thickBot="1" x14ac:dyDescent="0.3">
      <c r="A102" s="213"/>
      <c r="B102" s="237">
        <v>0</v>
      </c>
      <c r="C102" s="245" t="s">
        <v>283</v>
      </c>
      <c r="D102" s="374">
        <f>VLOOKUP(C102,$L$151:$O$275,2,FALSE)</f>
        <v>4</v>
      </c>
      <c r="E102" s="374">
        <f>VLOOKUP(C102,$L$151:$O$275,3,FALSE)</f>
        <v>8</v>
      </c>
      <c r="F102" s="246" t="s">
        <v>156</v>
      </c>
      <c r="G102" s="246" t="s">
        <v>156</v>
      </c>
      <c r="H102" s="240">
        <v>8</v>
      </c>
      <c r="I102" s="241">
        <v>2048</v>
      </c>
      <c r="J102" s="300"/>
      <c r="K102" s="213"/>
      <c r="L102" s="213"/>
      <c r="M102" s="213"/>
      <c r="N102" s="213"/>
      <c r="O102" s="213"/>
      <c r="P102" s="213"/>
      <c r="Q102" s="213"/>
      <c r="R102" s="213"/>
      <c r="S102" s="213"/>
      <c r="T102" s="213"/>
      <c r="U102" s="213"/>
      <c r="V102" s="213"/>
      <c r="W102" s="213"/>
      <c r="X102" s="213"/>
      <c r="Y102" s="213"/>
      <c r="Z102" s="213"/>
      <c r="AA102" s="213"/>
      <c r="AB102" s="213"/>
      <c r="AC102" s="213"/>
      <c r="AD102" s="213"/>
      <c r="AE102" s="213"/>
      <c r="AF102" s="213"/>
      <c r="AG102" s="213"/>
      <c r="AH102" s="213"/>
      <c r="AI102" s="213"/>
      <c r="AJ102" s="213"/>
      <c r="AK102" s="213"/>
      <c r="AL102" s="213"/>
      <c r="AM102" s="213"/>
      <c r="AN102" s="213"/>
      <c r="AO102" s="213"/>
      <c r="AP102" s="213"/>
      <c r="AQ102" s="213"/>
      <c r="AR102" s="213"/>
      <c r="AS102" s="213"/>
      <c r="AT102" s="213"/>
      <c r="AU102" s="213"/>
      <c r="AV102" s="213"/>
      <c r="AW102" s="213"/>
      <c r="AX102" s="213"/>
      <c r="AY102" s="213"/>
      <c r="AZ102" s="213"/>
      <c r="BA102" s="213"/>
      <c r="BB102" s="213"/>
      <c r="BC102" s="213"/>
      <c r="BD102" s="213"/>
      <c r="BE102" s="213"/>
      <c r="BF102" s="213"/>
      <c r="BG102" s="213"/>
      <c r="BH102" s="213"/>
      <c r="BI102" s="213"/>
      <c r="BJ102" s="213"/>
      <c r="BK102" s="213"/>
      <c r="BL102" s="213"/>
      <c r="BM102" s="213"/>
      <c r="BN102" s="213"/>
      <c r="BO102" s="213"/>
      <c r="BP102" s="213"/>
      <c r="BQ102" s="213"/>
      <c r="BR102" s="213"/>
      <c r="BS102" s="213"/>
      <c r="BT102" s="213"/>
      <c r="BU102" s="213"/>
      <c r="BV102" s="213"/>
      <c r="BW102" s="213"/>
      <c r="BX102" s="213"/>
      <c r="BY102" s="213"/>
      <c r="BZ102" s="213"/>
      <c r="CA102" s="213"/>
      <c r="CB102" s="213"/>
      <c r="CC102" s="213"/>
      <c r="CD102" s="213"/>
      <c r="CE102" s="213"/>
      <c r="CF102" s="213"/>
      <c r="CG102" s="213"/>
      <c r="CH102" s="213"/>
      <c r="CI102" s="213"/>
      <c r="CJ102" s="213"/>
      <c r="CK102" s="213"/>
      <c r="CL102" s="213"/>
      <c r="CM102" s="213"/>
      <c r="CN102" s="213"/>
      <c r="CO102" s="213"/>
      <c r="CP102" s="213"/>
      <c r="CQ102" s="213"/>
      <c r="CR102" s="213"/>
      <c r="CS102" s="213"/>
      <c r="CT102" s="213"/>
      <c r="CU102" s="213"/>
      <c r="CV102" s="213"/>
      <c r="CW102" s="213"/>
      <c r="CX102" s="213"/>
      <c r="CY102" s="213"/>
      <c r="CZ102" s="213"/>
      <c r="DA102" s="213"/>
      <c r="DB102" s="213"/>
      <c r="DC102" s="213"/>
      <c r="DD102" s="213"/>
      <c r="DE102" s="213"/>
      <c r="DF102" s="213"/>
      <c r="DG102" s="213"/>
      <c r="DH102" s="213"/>
      <c r="DI102" s="213"/>
      <c r="DJ102" s="213"/>
      <c r="DK102" s="213"/>
      <c r="DL102" s="213"/>
      <c r="DM102" s="213"/>
      <c r="DN102" s="213"/>
      <c r="DO102" s="213"/>
      <c r="DP102" s="213"/>
      <c r="DQ102" s="213"/>
      <c r="DR102" s="213"/>
      <c r="DS102" s="213"/>
      <c r="DT102" s="213"/>
      <c r="DU102" s="213"/>
      <c r="DV102" s="213"/>
      <c r="DW102" s="213"/>
      <c r="DX102" s="213"/>
      <c r="DY102" s="213"/>
      <c r="DZ102" s="213"/>
      <c r="EA102" s="213"/>
      <c r="EB102" s="213"/>
      <c r="EC102" s="213"/>
      <c r="ED102" s="213"/>
      <c r="EE102" s="213"/>
      <c r="EF102" s="213"/>
      <c r="EG102" s="213"/>
      <c r="EH102" s="213"/>
      <c r="EI102" s="213"/>
      <c r="EJ102" s="213"/>
      <c r="EK102" s="213"/>
      <c r="EL102" s="213"/>
      <c r="EM102" s="213"/>
      <c r="EN102" s="213"/>
      <c r="EO102" s="213"/>
      <c r="EP102" s="213"/>
      <c r="EQ102" s="213"/>
      <c r="ER102" s="213"/>
      <c r="ES102" s="213"/>
      <c r="ET102" s="213"/>
    </row>
    <row r="103" spans="1:150" ht="16.5" thickBot="1" x14ac:dyDescent="0.3">
      <c r="B103" s="237">
        <v>0</v>
      </c>
      <c r="C103" s="245" t="s">
        <v>284</v>
      </c>
      <c r="D103" s="374">
        <f>VLOOKUP(C103,$L$151:$O$275,2,FALSE)</f>
        <v>8</v>
      </c>
      <c r="E103" s="374">
        <f>VLOOKUP(C103,$L$151:$O$275,3,FALSE)</f>
        <v>16</v>
      </c>
      <c r="F103" s="246" t="s">
        <v>156</v>
      </c>
      <c r="G103" s="246" t="s">
        <v>156</v>
      </c>
      <c r="H103" s="240">
        <v>16</v>
      </c>
      <c r="I103" s="241">
        <v>8192</v>
      </c>
      <c r="J103" s="300"/>
    </row>
    <row r="104" spans="1:150" ht="16.5" thickBot="1" x14ac:dyDescent="0.3">
      <c r="B104" s="237">
        <v>0</v>
      </c>
      <c r="C104" s="245" t="s">
        <v>285</v>
      </c>
      <c r="D104" s="374">
        <f>VLOOKUP(C104,$L$151:$O$275,2,FALSE)</f>
        <v>16</v>
      </c>
      <c r="E104" s="374">
        <f>VLOOKUP(C104,$L$151:$O$275,3,FALSE)</f>
        <v>32</v>
      </c>
      <c r="F104" s="246" t="s">
        <v>156</v>
      </c>
      <c r="G104" s="246" t="s">
        <v>156</v>
      </c>
      <c r="H104" s="240">
        <v>32</v>
      </c>
      <c r="I104" s="241">
        <v>8192</v>
      </c>
      <c r="J104" s="300"/>
    </row>
    <row r="105" spans="1:150" ht="16.5" thickBot="1" x14ac:dyDescent="0.3">
      <c r="B105" s="236"/>
      <c r="C105" s="605" t="s">
        <v>286</v>
      </c>
      <c r="D105" s="605"/>
      <c r="E105" s="605"/>
      <c r="F105" s="605"/>
      <c r="G105" s="605"/>
      <c r="H105" s="605"/>
      <c r="I105" s="606"/>
      <c r="J105" s="300"/>
    </row>
    <row r="106" spans="1:150" ht="16.5" thickBot="1" x14ac:dyDescent="0.3">
      <c r="B106" s="237">
        <v>0</v>
      </c>
      <c r="C106" s="247" t="s">
        <v>287</v>
      </c>
      <c r="D106" s="375">
        <f t="shared" ref="D106:D111" si="6">VLOOKUP(C106,$L$151:$O$275,2,FALSE)</f>
        <v>2</v>
      </c>
      <c r="E106" s="375">
        <f t="shared" ref="E106:E111" si="7">VLOOKUP(C106,$L$151:$O$275,3,FALSE)</f>
        <v>4</v>
      </c>
      <c r="F106" s="248" t="s">
        <v>156</v>
      </c>
      <c r="G106" s="248" t="s">
        <v>156</v>
      </c>
      <c r="H106" s="240">
        <v>8</v>
      </c>
      <c r="I106" s="286">
        <v>2048</v>
      </c>
      <c r="J106" s="300"/>
    </row>
    <row r="107" spans="1:150" ht="16.5" customHeight="1" thickBot="1" x14ac:dyDescent="0.3">
      <c r="B107" s="237">
        <v>0</v>
      </c>
      <c r="C107" s="247" t="s">
        <v>288</v>
      </c>
      <c r="D107" s="375">
        <f t="shared" si="6"/>
        <v>4</v>
      </c>
      <c r="E107" s="375">
        <f t="shared" si="7"/>
        <v>8</v>
      </c>
      <c r="F107" s="248" t="s">
        <v>156</v>
      </c>
      <c r="G107" s="248" t="s">
        <v>156</v>
      </c>
      <c r="H107" s="240">
        <v>16</v>
      </c>
      <c r="I107" s="241">
        <v>2048</v>
      </c>
      <c r="J107" s="300"/>
    </row>
    <row r="108" spans="1:150" ht="16.5" thickBot="1" x14ac:dyDescent="0.3">
      <c r="B108" s="237">
        <v>0</v>
      </c>
      <c r="C108" s="247" t="s">
        <v>289</v>
      </c>
      <c r="D108" s="375">
        <f t="shared" si="6"/>
        <v>8</v>
      </c>
      <c r="E108" s="375">
        <f t="shared" si="7"/>
        <v>16</v>
      </c>
      <c r="F108" s="248" t="s">
        <v>156</v>
      </c>
      <c r="G108" s="248" t="s">
        <v>156</v>
      </c>
      <c r="H108" s="240">
        <v>32</v>
      </c>
      <c r="I108" s="241">
        <v>8192</v>
      </c>
      <c r="J108" s="300"/>
    </row>
    <row r="109" spans="1:150" ht="16.5" thickBot="1" x14ac:dyDescent="0.3">
      <c r="B109" s="237">
        <v>0</v>
      </c>
      <c r="C109" s="247" t="s">
        <v>290</v>
      </c>
      <c r="D109" s="375">
        <f t="shared" si="6"/>
        <v>16</v>
      </c>
      <c r="E109" s="375">
        <f t="shared" si="7"/>
        <v>32</v>
      </c>
      <c r="F109" s="248" t="s">
        <v>156</v>
      </c>
      <c r="G109" s="248" t="s">
        <v>156</v>
      </c>
      <c r="H109" s="240">
        <v>64</v>
      </c>
      <c r="I109" s="241">
        <v>8192</v>
      </c>
      <c r="J109" s="300"/>
    </row>
    <row r="110" spans="1:150" ht="16.5" thickBot="1" x14ac:dyDescent="0.3">
      <c r="B110" s="237">
        <v>0</v>
      </c>
      <c r="C110" s="247" t="s">
        <v>291</v>
      </c>
      <c r="D110" s="375">
        <f t="shared" si="6"/>
        <v>32</v>
      </c>
      <c r="E110" s="375">
        <f t="shared" si="7"/>
        <v>64</v>
      </c>
      <c r="F110" s="248" t="s">
        <v>156</v>
      </c>
      <c r="G110" s="248" t="s">
        <v>156</v>
      </c>
      <c r="H110" s="240">
        <v>128</v>
      </c>
      <c r="I110" s="241">
        <v>16384</v>
      </c>
      <c r="J110" s="300"/>
    </row>
    <row r="111" spans="1:150" ht="16.5" thickBot="1" x14ac:dyDescent="0.3">
      <c r="B111" s="237">
        <v>0</v>
      </c>
      <c r="C111" s="247" t="s">
        <v>292</v>
      </c>
      <c r="D111" s="375">
        <f t="shared" si="6"/>
        <v>64</v>
      </c>
      <c r="E111" s="375">
        <f t="shared" si="7"/>
        <v>128</v>
      </c>
      <c r="F111" s="248" t="s">
        <v>156</v>
      </c>
      <c r="G111" s="248" t="s">
        <v>156</v>
      </c>
      <c r="H111" s="240">
        <v>256</v>
      </c>
      <c r="I111" s="241">
        <v>16384</v>
      </c>
      <c r="J111" s="313"/>
    </row>
    <row r="112" spans="1:150" ht="16.5" thickBot="1" x14ac:dyDescent="0.3">
      <c r="B112" s="236"/>
      <c r="C112" s="605" t="s">
        <v>293</v>
      </c>
      <c r="D112" s="605"/>
      <c r="E112" s="605"/>
      <c r="F112" s="605"/>
      <c r="G112" s="605"/>
      <c r="H112" s="605"/>
      <c r="I112" s="606"/>
      <c r="J112" s="296" t="s">
        <v>294</v>
      </c>
      <c r="K112" s="235"/>
    </row>
    <row r="113" spans="2:11" ht="16.5" thickBot="1" x14ac:dyDescent="0.3">
      <c r="B113" s="237">
        <v>0</v>
      </c>
      <c r="C113" s="238" t="s">
        <v>295</v>
      </c>
      <c r="D113" s="372">
        <f>VLOOKUP(C113,$L$151:$O$275,2,FALSE)</f>
        <v>6</v>
      </c>
      <c r="E113" s="382">
        <f>VLOOKUP(C113,$L$151:$O$275,3,FALSE)</f>
        <v>112</v>
      </c>
      <c r="F113" s="239">
        <v>1</v>
      </c>
      <c r="G113" s="239">
        <v>16</v>
      </c>
      <c r="H113" s="240">
        <v>736</v>
      </c>
      <c r="I113" s="241">
        <v>100</v>
      </c>
      <c r="J113" s="655" t="s">
        <v>720</v>
      </c>
      <c r="K113" s="287"/>
    </row>
    <row r="114" spans="2:11" ht="16.5" thickBot="1" x14ac:dyDescent="0.3">
      <c r="B114" s="237">
        <v>0</v>
      </c>
      <c r="C114" s="238" t="s">
        <v>297</v>
      </c>
      <c r="D114" s="372">
        <f>VLOOKUP(C114,$L$151:$O$275,2,FALSE)</f>
        <v>12</v>
      </c>
      <c r="E114" s="382">
        <f>VLOOKUP(C114,$L$151:$O$275,3,FALSE)</f>
        <v>224</v>
      </c>
      <c r="F114" s="239">
        <v>2</v>
      </c>
      <c r="G114" s="239">
        <v>32</v>
      </c>
      <c r="H114" s="240">
        <v>1474</v>
      </c>
      <c r="I114" s="241">
        <v>160</v>
      </c>
      <c r="J114" s="655"/>
      <c r="K114" s="287"/>
    </row>
    <row r="115" spans="2:11" ht="16.5" thickBot="1" x14ac:dyDescent="0.3">
      <c r="B115" s="237">
        <v>0</v>
      </c>
      <c r="C115" s="238" t="s">
        <v>298</v>
      </c>
      <c r="D115" s="372">
        <f>VLOOKUP(C115,$L$151:$O$275,2,FALSE)</f>
        <v>24</v>
      </c>
      <c r="E115" s="382">
        <f>VLOOKUP(C115,$L$151:$O$275,3,FALSE)</f>
        <v>448</v>
      </c>
      <c r="F115" s="239">
        <v>4</v>
      </c>
      <c r="G115" s="239">
        <v>64</v>
      </c>
      <c r="H115" s="240">
        <v>2948</v>
      </c>
      <c r="I115" s="241">
        <v>120</v>
      </c>
      <c r="J115" s="300"/>
    </row>
    <row r="116" spans="2:11" ht="16.5" thickBot="1" x14ac:dyDescent="0.3">
      <c r="B116" s="236"/>
      <c r="C116" s="605" t="s">
        <v>299</v>
      </c>
      <c r="D116" s="605"/>
      <c r="E116" s="605"/>
      <c r="F116" s="605"/>
      <c r="G116" s="605"/>
      <c r="H116" s="605"/>
      <c r="I116" s="606"/>
      <c r="J116" s="300"/>
    </row>
    <row r="117" spans="2:11" ht="16.5" thickBot="1" x14ac:dyDescent="0.3">
      <c r="B117" s="237">
        <v>0</v>
      </c>
      <c r="C117" s="251" t="s">
        <v>300</v>
      </c>
      <c r="D117" s="373">
        <f>VLOOKUP(C117,$L$151:$O$275,2,FALSE)</f>
        <v>4</v>
      </c>
      <c r="E117" s="383">
        <f>VLOOKUP(C117,$L$151:$O$275,3,FALSE)</f>
        <v>28</v>
      </c>
      <c r="F117" s="288">
        <v>1</v>
      </c>
      <c r="G117" s="288">
        <v>16</v>
      </c>
      <c r="H117" s="240">
        <v>128</v>
      </c>
      <c r="I117" s="241">
        <v>100</v>
      </c>
      <c r="J117" s="655" t="s">
        <v>296</v>
      </c>
      <c r="K117" s="287"/>
    </row>
    <row r="118" spans="2:11" ht="16.5" thickBot="1" x14ac:dyDescent="0.3">
      <c r="B118" s="237">
        <v>0</v>
      </c>
      <c r="C118" s="251" t="s">
        <v>301</v>
      </c>
      <c r="D118" s="373">
        <f>VLOOKUP(C118,$L$151:$O$275,2,FALSE)</f>
        <v>8</v>
      </c>
      <c r="E118" s="383">
        <f>VLOOKUP(C118,$L$151:$O$275,3,FALSE)</f>
        <v>56</v>
      </c>
      <c r="F118" s="288">
        <v>1</v>
      </c>
      <c r="G118" s="288">
        <v>16</v>
      </c>
      <c r="H118" s="240">
        <v>192</v>
      </c>
      <c r="I118" s="241">
        <v>120</v>
      </c>
      <c r="J118" s="655"/>
      <c r="K118" s="287"/>
    </row>
    <row r="119" spans="2:11" ht="16.5" thickBot="1" x14ac:dyDescent="0.3">
      <c r="B119" s="237">
        <v>0</v>
      </c>
      <c r="C119" s="251" t="s">
        <v>302</v>
      </c>
      <c r="D119" s="373">
        <f>VLOOKUP(C119,$L$151:$O$275,2,FALSE)</f>
        <v>16</v>
      </c>
      <c r="E119" s="383">
        <f>VLOOKUP(C119,$L$151:$O$275,3,FALSE)</f>
        <v>110</v>
      </c>
      <c r="F119" s="288">
        <v>1</v>
      </c>
      <c r="G119" s="288">
        <v>16</v>
      </c>
      <c r="H119" s="240">
        <v>256</v>
      </c>
      <c r="I119" s="241">
        <v>160</v>
      </c>
      <c r="J119" s="300"/>
    </row>
    <row r="120" spans="2:11" ht="16.5" thickBot="1" x14ac:dyDescent="0.3">
      <c r="B120" s="237">
        <v>0</v>
      </c>
      <c r="C120" s="251" t="s">
        <v>303</v>
      </c>
      <c r="D120" s="373">
        <f>VLOOKUP(C120,$L$151:$O$275,2,FALSE)</f>
        <v>64</v>
      </c>
      <c r="E120" s="383">
        <f>VLOOKUP(C120,$L$151:$O$275,3,FALSE)</f>
        <v>440</v>
      </c>
      <c r="F120" s="288">
        <v>1</v>
      </c>
      <c r="G120" s="288">
        <v>64</v>
      </c>
      <c r="H120" s="240">
        <v>320</v>
      </c>
      <c r="I120" s="241">
        <v>512</v>
      </c>
      <c r="J120" s="300"/>
    </row>
    <row r="121" spans="2:11" ht="16.5" thickBot="1" x14ac:dyDescent="0.3">
      <c r="B121" s="236"/>
      <c r="C121" s="605" t="s">
        <v>712</v>
      </c>
      <c r="D121" s="605"/>
      <c r="E121" s="605"/>
      <c r="F121" s="605"/>
      <c r="G121" s="605"/>
      <c r="H121" s="605"/>
      <c r="I121" s="606"/>
      <c r="J121" s="300"/>
    </row>
    <row r="122" spans="2:11" ht="16.5" thickBot="1" x14ac:dyDescent="0.3">
      <c r="B122" s="237">
        <v>0</v>
      </c>
      <c r="C122" s="245" t="s">
        <v>709</v>
      </c>
      <c r="D122" s="374">
        <f>VLOOKUP(C122,$L$151:$O$275,2,FALSE)</f>
        <v>24</v>
      </c>
      <c r="E122" s="384">
        <f>VLOOKUP(C122,$L$151:$O$275,3,FALSE)</f>
        <v>220</v>
      </c>
      <c r="F122" s="246">
        <v>1</v>
      </c>
      <c r="G122" s="246">
        <v>80</v>
      </c>
      <c r="H122" s="240">
        <v>1474</v>
      </c>
      <c r="I122" s="241">
        <v>320</v>
      </c>
      <c r="J122" s="300"/>
    </row>
    <row r="123" spans="2:11" ht="16.5" thickBot="1" x14ac:dyDescent="0.3">
      <c r="B123" s="237">
        <v>0</v>
      </c>
      <c r="C123" s="245" t="s">
        <v>710</v>
      </c>
      <c r="D123" s="246">
        <v>48</v>
      </c>
      <c r="E123" s="384">
        <f>VLOOKUP(C123,$L$151:$O$275,3,FALSE)</f>
        <v>440</v>
      </c>
      <c r="F123" s="246">
        <v>2</v>
      </c>
      <c r="G123" s="246">
        <v>160</v>
      </c>
      <c r="H123" s="240">
        <v>2948</v>
      </c>
      <c r="I123" s="241">
        <v>512</v>
      </c>
      <c r="J123" s="300"/>
    </row>
    <row r="124" spans="2:11" ht="16.5" thickBot="1" x14ac:dyDescent="0.3">
      <c r="B124" s="236"/>
      <c r="C124" s="605" t="s">
        <v>708</v>
      </c>
      <c r="D124" s="605"/>
      <c r="E124" s="605"/>
      <c r="F124" s="605"/>
      <c r="G124" s="605"/>
      <c r="H124" s="605"/>
      <c r="I124" s="606"/>
      <c r="J124" s="300"/>
    </row>
    <row r="125" spans="2:11" ht="16.5" thickBot="1" x14ac:dyDescent="0.3">
      <c r="B125" s="289">
        <v>0</v>
      </c>
      <c r="C125" s="245" t="s">
        <v>305</v>
      </c>
      <c r="D125" s="374">
        <f>VLOOKUP(C125,$L$151:$O$275,2,FALSE)</f>
        <v>4</v>
      </c>
      <c r="E125" s="385">
        <f>VLOOKUP(C125,$L$151:$O$275,3,FALSE)</f>
        <v>14</v>
      </c>
      <c r="F125" s="290" t="s">
        <v>306</v>
      </c>
      <c r="G125" s="291">
        <v>2</v>
      </c>
      <c r="H125" s="240">
        <v>64</v>
      </c>
      <c r="I125" s="241">
        <v>100</v>
      </c>
      <c r="J125" s="655" t="s">
        <v>721</v>
      </c>
      <c r="K125" s="287"/>
    </row>
    <row r="126" spans="2:11" ht="16.5" thickBot="1" x14ac:dyDescent="0.3">
      <c r="B126" s="289">
        <v>0</v>
      </c>
      <c r="C126" s="245" t="s">
        <v>307</v>
      </c>
      <c r="D126" s="374">
        <f>VLOOKUP(C126,$L$151:$O$275,2,FALSE)</f>
        <v>8</v>
      </c>
      <c r="E126" s="385">
        <f>VLOOKUP(C126,$L$151:$O$275,3,FALSE)</f>
        <v>18</v>
      </c>
      <c r="F126" s="290" t="s">
        <v>308</v>
      </c>
      <c r="G126" s="291">
        <v>4</v>
      </c>
      <c r="H126" s="240">
        <v>128</v>
      </c>
      <c r="I126" s="241">
        <v>120</v>
      </c>
      <c r="J126" s="655"/>
      <c r="K126" s="287"/>
    </row>
    <row r="127" spans="2:11" ht="16.5" thickBot="1" x14ac:dyDescent="0.3">
      <c r="B127" s="289">
        <v>0</v>
      </c>
      <c r="C127" s="245" t="s">
        <v>309</v>
      </c>
      <c r="D127" s="374">
        <f>VLOOKUP(C127,$L$151:$O$275,2,FALSE)</f>
        <v>16</v>
      </c>
      <c r="E127" s="385">
        <f>VLOOKUP(C127,$L$151:$O$275,3,FALSE)</f>
        <v>56</v>
      </c>
      <c r="F127" s="290" t="s">
        <v>310</v>
      </c>
      <c r="G127" s="291">
        <v>8</v>
      </c>
      <c r="H127" s="240">
        <v>192</v>
      </c>
      <c r="I127" s="241">
        <v>160</v>
      </c>
      <c r="J127" s="655" t="s">
        <v>311</v>
      </c>
    </row>
    <row r="128" spans="2:11" ht="16.5" thickBot="1" x14ac:dyDescent="0.3">
      <c r="B128" s="289">
        <v>0</v>
      </c>
      <c r="C128" s="245" t="s">
        <v>312</v>
      </c>
      <c r="D128" s="374">
        <f>VLOOKUP(C128,$L$151:$O$275,2,FALSE)</f>
        <v>32</v>
      </c>
      <c r="E128" s="385">
        <f>VLOOKUP(C128,$L$151:$O$275,3,FALSE)</f>
        <v>112</v>
      </c>
      <c r="F128" s="291">
        <v>1</v>
      </c>
      <c r="G128" s="291">
        <v>16</v>
      </c>
      <c r="H128" s="240">
        <v>256</v>
      </c>
      <c r="I128" s="241">
        <v>320</v>
      </c>
      <c r="J128" s="655"/>
    </row>
    <row r="129" spans="1:72" ht="16.5" thickBot="1" x14ac:dyDescent="0.3">
      <c r="B129" s="386" cm="1">
        <f t="array" ref="B129">IF((SUM(B8:B64,B67:B91,B94:B111) + IF(AMD_GPUType_Selection_Check="true",SUM(B125:B128),SUM(B113:B120,B122:B123)))&lt;TotalVMMaximum,SUM(B8:B64,B67:B91,B94:B111)  + IF(AMD_GPUType_Selection_Check="true",SUM(B125:B128),SUM(B113:B120,B122:B123)),ERROR)</f>
        <v>0</v>
      </c>
      <c r="C129" s="677" t="s">
        <v>313</v>
      </c>
      <c r="D129" s="678"/>
      <c r="E129" s="678"/>
      <c r="F129" s="678"/>
      <c r="G129" s="678"/>
      <c r="H129" s="678"/>
      <c r="I129" s="678"/>
      <c r="J129" s="679"/>
      <c r="K129" s="292"/>
    </row>
    <row r="130" spans="1:72" x14ac:dyDescent="0.25">
      <c r="X130" s="314"/>
    </row>
    <row r="131" spans="1:72" x14ac:dyDescent="0.25">
      <c r="H131" s="285"/>
    </row>
    <row r="137" spans="1:72" x14ac:dyDescent="0.25">
      <c r="A137" s="310"/>
      <c r="B137" s="310"/>
      <c r="C137" s="310"/>
      <c r="D137" s="308" t="s">
        <v>314</v>
      </c>
      <c r="E137" s="310"/>
      <c r="F137" s="310"/>
      <c r="G137" s="310"/>
      <c r="H137" s="310"/>
      <c r="I137" s="310"/>
      <c r="J137" s="310"/>
      <c r="K137" s="310"/>
      <c r="L137" s="310"/>
      <c r="M137" s="310"/>
      <c r="N137" s="308" t="s">
        <v>314</v>
      </c>
      <c r="O137" s="310"/>
      <c r="P137" s="310"/>
      <c r="Q137" s="310"/>
      <c r="R137" s="310"/>
      <c r="S137" s="310"/>
      <c r="T137" s="310"/>
      <c r="U137" s="310"/>
      <c r="V137" s="310"/>
      <c r="W137" s="310"/>
      <c r="X137" s="310"/>
      <c r="Y137" s="310"/>
      <c r="Z137" s="310"/>
      <c r="AA137" s="310"/>
      <c r="AB137" s="310"/>
      <c r="AC137" s="310"/>
      <c r="AD137" s="310"/>
      <c r="AE137" s="310"/>
      <c r="AF137" s="310"/>
      <c r="AG137" s="310"/>
      <c r="AH137" s="310"/>
      <c r="AI137" s="310"/>
      <c r="AJ137" s="310"/>
      <c r="AK137" s="310"/>
      <c r="AL137" s="310"/>
      <c r="AM137" s="310"/>
      <c r="AN137" s="310"/>
      <c r="AO137" s="310"/>
      <c r="AP137" s="310"/>
      <c r="AQ137" s="310"/>
      <c r="AR137" s="310"/>
      <c r="AS137" s="310"/>
      <c r="AT137" s="310"/>
      <c r="AU137" s="310"/>
      <c r="AV137" s="310"/>
      <c r="AW137" s="310"/>
      <c r="AX137" s="310"/>
      <c r="AY137" s="310"/>
      <c r="AZ137" s="310"/>
      <c r="BA137" s="310"/>
      <c r="BB137" s="310"/>
      <c r="BC137" s="310"/>
      <c r="BD137" s="310"/>
      <c r="BE137" s="310"/>
      <c r="BF137" s="310"/>
      <c r="BG137" s="310"/>
      <c r="BH137" s="310"/>
      <c r="BI137" s="310"/>
      <c r="BJ137" s="310"/>
      <c r="BK137" s="310"/>
      <c r="BL137" s="310"/>
      <c r="BM137" s="310"/>
      <c r="BN137" s="310"/>
      <c r="BO137" s="310"/>
      <c r="BP137" s="310"/>
      <c r="BQ137" s="310"/>
      <c r="BR137" s="310"/>
      <c r="BS137" s="310"/>
      <c r="BT137" s="310"/>
    </row>
    <row r="147" spans="2:15" ht="19.5" thickBot="1" x14ac:dyDescent="0.35">
      <c r="B147" s="315" t="s">
        <v>315</v>
      </c>
    </row>
    <row r="148" spans="2:15" ht="15.75" thickBot="1" x14ac:dyDescent="0.3">
      <c r="B148" s="316" t="s">
        <v>316</v>
      </c>
      <c r="C148" s="317" t="s">
        <v>317</v>
      </c>
      <c r="D148" s="317" t="s">
        <v>318</v>
      </c>
      <c r="E148" s="317" t="s">
        <v>146</v>
      </c>
      <c r="F148" s="317" t="s">
        <v>147</v>
      </c>
      <c r="G148" s="317" t="s">
        <v>148</v>
      </c>
      <c r="H148" s="317" t="s">
        <v>319</v>
      </c>
      <c r="I148" s="318" t="s">
        <v>320</v>
      </c>
      <c r="J148" s="319" t="s">
        <v>321</v>
      </c>
      <c r="L148" s="320" t="s">
        <v>322</v>
      </c>
      <c r="M148" s="321" t="s">
        <v>252</v>
      </c>
      <c r="N148" s="321" t="s">
        <v>323</v>
      </c>
      <c r="O148" s="322" t="s">
        <v>324</v>
      </c>
    </row>
    <row r="149" spans="2:15" ht="15.75" thickBot="1" x14ac:dyDescent="0.3">
      <c r="B149" s="323"/>
      <c r="C149" s="629" t="s">
        <v>151</v>
      </c>
      <c r="D149" s="630"/>
      <c r="E149" s="630"/>
      <c r="F149" s="630"/>
      <c r="G149" s="630"/>
      <c r="H149" s="630"/>
      <c r="I149" s="324"/>
      <c r="J149" s="325"/>
      <c r="L149" s="326"/>
      <c r="M149" s="327"/>
      <c r="N149" s="327"/>
      <c r="O149" s="328"/>
    </row>
    <row r="150" spans="2:15" ht="16.5" thickBot="1" x14ac:dyDescent="0.3">
      <c r="B150" s="329"/>
      <c r="C150" s="640" t="s">
        <v>153</v>
      </c>
      <c r="D150" s="657"/>
      <c r="E150" s="657"/>
      <c r="F150" s="657"/>
      <c r="G150" s="657"/>
      <c r="H150" s="657"/>
      <c r="I150" s="330"/>
      <c r="J150" s="325"/>
      <c r="L150" s="656" t="s">
        <v>153</v>
      </c>
      <c r="M150" s="656"/>
      <c r="N150" s="656"/>
      <c r="O150" s="656"/>
    </row>
    <row r="151" spans="2:15" ht="16.5" thickBot="1" x14ac:dyDescent="0.3">
      <c r="B151" s="387">
        <f>Quantity_Basic_A0</f>
        <v>0</v>
      </c>
      <c r="C151" s="109" t="str">
        <f t="shared" ref="C151:C188" si="8">C8</f>
        <v>Basic_A0</v>
      </c>
      <c r="D151" s="388">
        <f>Basic_A0_Cores*Quantity_Basic_A0</f>
        <v>0</v>
      </c>
      <c r="E151" s="388">
        <f>Basic_A0_Memory*Quantity_Basic_A0</f>
        <v>0</v>
      </c>
      <c r="F151" s="332"/>
      <c r="G151" s="332"/>
      <c r="H151" s="388">
        <f>Basic_A0_Temp*Quantity_Basic_A0</f>
        <v>0</v>
      </c>
      <c r="I151" s="387">
        <f>Basic_A0_Disk*Quantity_Basic_A0</f>
        <v>0</v>
      </c>
      <c r="J151" s="389">
        <f>IF(E151=0,0,(E151/B151))</f>
        <v>0</v>
      </c>
      <c r="L151" s="333" t="s">
        <v>155</v>
      </c>
      <c r="M151" s="334">
        <v>1</v>
      </c>
      <c r="N151" s="334">
        <v>0.75</v>
      </c>
      <c r="O151" s="334">
        <v>20</v>
      </c>
    </row>
    <row r="152" spans="2:15" ht="16.5" thickBot="1" x14ac:dyDescent="0.3">
      <c r="B152" s="387">
        <f>Quantity_Basic_A1</f>
        <v>0</v>
      </c>
      <c r="C152" s="109" t="str">
        <f t="shared" si="8"/>
        <v>Basic_A1</v>
      </c>
      <c r="D152" s="388">
        <f>Basic_A1_Cores*Quantity_Basic_A1</f>
        <v>0</v>
      </c>
      <c r="E152" s="388">
        <f>Basic_A1_Memory*Quantity_Basic_A1</f>
        <v>0</v>
      </c>
      <c r="F152" s="332"/>
      <c r="G152" s="332"/>
      <c r="H152" s="388">
        <f>Basic_A1_Temp*Quantity_Basic_A1</f>
        <v>0</v>
      </c>
      <c r="I152" s="387">
        <f>Basic_A1_Disk*Quantity_Basic_A1</f>
        <v>0</v>
      </c>
      <c r="J152" s="389">
        <f t="shared" ref="J152:J215" si="9">IF(E152=0,0,(E152/B152))</f>
        <v>0</v>
      </c>
      <c r="L152" s="333" t="s">
        <v>159</v>
      </c>
      <c r="M152" s="334">
        <v>1</v>
      </c>
      <c r="N152" s="334">
        <v>1.75</v>
      </c>
      <c r="O152" s="334">
        <v>70</v>
      </c>
    </row>
    <row r="153" spans="2:15" ht="16.5" thickBot="1" x14ac:dyDescent="0.3">
      <c r="B153" s="387">
        <f>Quantity_Basic_A2</f>
        <v>0</v>
      </c>
      <c r="C153" s="109" t="str">
        <f t="shared" si="8"/>
        <v>Basic_A2</v>
      </c>
      <c r="D153" s="388">
        <f>Basic_A2_Cores*Quantity_Basic_A2</f>
        <v>0</v>
      </c>
      <c r="E153" s="388">
        <f>Basic_A2_Memory*Quantity_Basic_A2</f>
        <v>0</v>
      </c>
      <c r="F153" s="332"/>
      <c r="G153" s="332"/>
      <c r="H153" s="388">
        <f>Basic_A2_Temp*Quantity_Basic_A2</f>
        <v>0</v>
      </c>
      <c r="I153" s="387">
        <f>Basic_A2_Disk*Quantity_Basic_A2</f>
        <v>0</v>
      </c>
      <c r="J153" s="389">
        <f t="shared" si="9"/>
        <v>0</v>
      </c>
      <c r="L153" s="333" t="s">
        <v>162</v>
      </c>
      <c r="M153" s="334">
        <v>2</v>
      </c>
      <c r="N153" s="334">
        <v>3.5</v>
      </c>
      <c r="O153" s="334">
        <v>135</v>
      </c>
    </row>
    <row r="154" spans="2:15" ht="16.5" thickBot="1" x14ac:dyDescent="0.3">
      <c r="B154" s="387">
        <f>Quantity_Basic_A3</f>
        <v>0</v>
      </c>
      <c r="C154" s="109" t="str">
        <f t="shared" si="8"/>
        <v>Basic_A3</v>
      </c>
      <c r="D154" s="388">
        <f>Basic_A3_Cores*Quantity_Basic_A3</f>
        <v>0</v>
      </c>
      <c r="E154" s="388">
        <f>Basic_A3_Memory*Quantity_Basic_A3</f>
        <v>0</v>
      </c>
      <c r="F154" s="332"/>
      <c r="G154" s="332"/>
      <c r="H154" s="388">
        <f>Basic_A3_Temp*Quantity_Basic_A3</f>
        <v>0</v>
      </c>
      <c r="I154" s="387">
        <f>Basic_A3_Disk*Quantity_Basic_A3</f>
        <v>0</v>
      </c>
      <c r="J154" s="389">
        <f t="shared" si="9"/>
        <v>0</v>
      </c>
      <c r="L154" s="333" t="s">
        <v>164</v>
      </c>
      <c r="M154" s="334">
        <v>4</v>
      </c>
      <c r="N154" s="334">
        <v>7</v>
      </c>
      <c r="O154" s="334">
        <v>285</v>
      </c>
    </row>
    <row r="155" spans="2:15" ht="16.5" thickBot="1" x14ac:dyDescent="0.3">
      <c r="B155" s="387">
        <f>Quantity_Basic_A4</f>
        <v>0</v>
      </c>
      <c r="C155" s="109" t="str">
        <f t="shared" si="8"/>
        <v>Basic_A4</v>
      </c>
      <c r="D155" s="388">
        <f>Basic_A4_Cores*Quantity_Basic_A4</f>
        <v>0</v>
      </c>
      <c r="E155" s="388">
        <f>Basic_A4_Memory*Quantity_Basic_A4</f>
        <v>0</v>
      </c>
      <c r="F155" s="332"/>
      <c r="G155" s="332"/>
      <c r="H155" s="388">
        <f>Basic_A4_Temp*Quantity_Basic_A4</f>
        <v>0</v>
      </c>
      <c r="I155" s="387">
        <f>Basic_A4_Disk*Quantity_Basic_A4</f>
        <v>0</v>
      </c>
      <c r="J155" s="389">
        <f t="shared" si="9"/>
        <v>0</v>
      </c>
      <c r="L155" s="333" t="s">
        <v>167</v>
      </c>
      <c r="M155" s="334">
        <v>8</v>
      </c>
      <c r="N155" s="334">
        <v>14</v>
      </c>
      <c r="O155" s="334">
        <v>605</v>
      </c>
    </row>
    <row r="156" spans="2:15" ht="16.5" thickBot="1" x14ac:dyDescent="0.3">
      <c r="B156" s="331"/>
      <c r="C156" s="643" t="str">
        <f t="shared" si="8"/>
        <v>Standard A</v>
      </c>
      <c r="D156" s="644"/>
      <c r="E156" s="644"/>
      <c r="F156" s="644"/>
      <c r="G156" s="644"/>
      <c r="H156" s="645"/>
      <c r="I156" s="331"/>
      <c r="J156" s="325"/>
      <c r="L156" s="639" t="s">
        <v>168</v>
      </c>
      <c r="M156" s="639"/>
      <c r="N156" s="639"/>
      <c r="O156" s="639"/>
    </row>
    <row r="157" spans="2:15" ht="16.5" thickBot="1" x14ac:dyDescent="0.3">
      <c r="B157" s="387">
        <f>Quantity_Standard_A0</f>
        <v>0</v>
      </c>
      <c r="C157" s="33" t="str">
        <f t="shared" si="8"/>
        <v>Standard_A0</v>
      </c>
      <c r="D157" s="390">
        <f>Standard_A0_Cores*Quantity_Standard_A0</f>
        <v>0</v>
      </c>
      <c r="E157" s="390">
        <f>Standard_A0_Memory*Quantity_Standard_A0</f>
        <v>0</v>
      </c>
      <c r="F157" s="336"/>
      <c r="G157" s="336"/>
      <c r="H157" s="390">
        <f>Standard_A0_Temp*Quantity_Standard_A0</f>
        <v>0</v>
      </c>
      <c r="I157" s="387">
        <f>Standard_A0_Disk*Quantity_Standard_A0</f>
        <v>0</v>
      </c>
      <c r="J157" s="389">
        <f t="shared" si="9"/>
        <v>0</v>
      </c>
      <c r="L157" s="337" t="s">
        <v>169</v>
      </c>
      <c r="M157" s="338">
        <v>1</v>
      </c>
      <c r="N157" s="338">
        <v>0.75</v>
      </c>
      <c r="O157" s="338">
        <v>20</v>
      </c>
    </row>
    <row r="158" spans="2:15" ht="16.5" thickBot="1" x14ac:dyDescent="0.3">
      <c r="B158" s="387">
        <f>Quantity_Standard_A1</f>
        <v>0</v>
      </c>
      <c r="C158" s="33" t="str">
        <f t="shared" si="8"/>
        <v>Standard_A1</v>
      </c>
      <c r="D158" s="390">
        <f>Standard_A1_Cores*Quantity_Standard_A1</f>
        <v>0</v>
      </c>
      <c r="E158" s="390">
        <f>Standard_A1_Memory*Quantity_Standard_A1</f>
        <v>0</v>
      </c>
      <c r="F158" s="336"/>
      <c r="G158" s="336"/>
      <c r="H158" s="390">
        <f>Standard_A1_Temp*Quantity_Standard_A1</f>
        <v>0</v>
      </c>
      <c r="I158" s="387">
        <f>Standard_A1_Disk*Quantity_Standard_A1</f>
        <v>0</v>
      </c>
      <c r="J158" s="389">
        <f t="shared" si="9"/>
        <v>0</v>
      </c>
      <c r="L158" s="337" t="s">
        <v>170</v>
      </c>
      <c r="M158" s="338">
        <v>1</v>
      </c>
      <c r="N158" s="338">
        <v>1.75</v>
      </c>
      <c r="O158" s="338">
        <v>70</v>
      </c>
    </row>
    <row r="159" spans="2:15" ht="16.5" thickBot="1" x14ac:dyDescent="0.3">
      <c r="B159" s="387">
        <f>Quantity_Standard_A2</f>
        <v>0</v>
      </c>
      <c r="C159" s="33" t="str">
        <f t="shared" si="8"/>
        <v>Standard_A2</v>
      </c>
      <c r="D159" s="390">
        <f>Standard_A2_Cores*Quantity_Standard_A2</f>
        <v>0</v>
      </c>
      <c r="E159" s="390">
        <f>Standard_A2_Memory*Quantity_Standard_A2</f>
        <v>0</v>
      </c>
      <c r="F159" s="336"/>
      <c r="G159" s="336"/>
      <c r="H159" s="390">
        <f>Standard_A2_Temp*Quantity_Standard_A2</f>
        <v>0</v>
      </c>
      <c r="I159" s="387">
        <f>Standard_A2_Disk*Quantity_Standard_A2</f>
        <v>0</v>
      </c>
      <c r="J159" s="389">
        <f t="shared" si="9"/>
        <v>0</v>
      </c>
      <c r="L159" s="337" t="s">
        <v>171</v>
      </c>
      <c r="M159" s="338">
        <v>2</v>
      </c>
      <c r="N159" s="338">
        <v>3.5</v>
      </c>
      <c r="O159" s="338">
        <v>135</v>
      </c>
    </row>
    <row r="160" spans="2:15" ht="16.5" thickBot="1" x14ac:dyDescent="0.3">
      <c r="B160" s="387">
        <f>Quantity_Standard_A3</f>
        <v>0</v>
      </c>
      <c r="C160" s="33" t="str">
        <f t="shared" si="8"/>
        <v>Standard_A3</v>
      </c>
      <c r="D160" s="390">
        <f>Standard_A3_Cores*Quantity_Standard_A3</f>
        <v>0</v>
      </c>
      <c r="E160" s="390">
        <f>Standard_A3_Memory*Quantity_Standard_A3</f>
        <v>0</v>
      </c>
      <c r="F160" s="336"/>
      <c r="G160" s="336"/>
      <c r="H160" s="390">
        <f>Standard_A3_Temp*Quantity_Standard_A3</f>
        <v>0</v>
      </c>
      <c r="I160" s="387">
        <f>Standard_A3_Disk*Quantity_Standard_A3</f>
        <v>0</v>
      </c>
      <c r="J160" s="389">
        <f t="shared" si="9"/>
        <v>0</v>
      </c>
      <c r="L160" s="337" t="s">
        <v>172</v>
      </c>
      <c r="M160" s="338">
        <v>4</v>
      </c>
      <c r="N160" s="338">
        <v>7</v>
      </c>
      <c r="O160" s="338">
        <v>285</v>
      </c>
    </row>
    <row r="161" spans="2:15" ht="16.5" thickBot="1" x14ac:dyDescent="0.3">
      <c r="B161" s="387">
        <f>Quantity_Standard_A4</f>
        <v>0</v>
      </c>
      <c r="C161" s="33" t="str">
        <f t="shared" si="8"/>
        <v>Standard_A4</v>
      </c>
      <c r="D161" s="390">
        <f>Standard_A4_Cores*Quantity_Standard_A4</f>
        <v>0</v>
      </c>
      <c r="E161" s="390">
        <f>Standard_A4_Memory*Quantity_Standard_A4</f>
        <v>0</v>
      </c>
      <c r="F161" s="336"/>
      <c r="G161" s="336"/>
      <c r="H161" s="390">
        <f>Standard_A4_Temp*Quantity_Standard_A4</f>
        <v>0</v>
      </c>
      <c r="I161" s="387">
        <f>Standard_A4_Disk*Quantity_Standard_A4</f>
        <v>0</v>
      </c>
      <c r="J161" s="389">
        <f t="shared" si="9"/>
        <v>0</v>
      </c>
      <c r="L161" s="337" t="s">
        <v>173</v>
      </c>
      <c r="M161" s="338">
        <v>8</v>
      </c>
      <c r="N161" s="338">
        <v>14</v>
      </c>
      <c r="O161" s="338">
        <v>605</v>
      </c>
    </row>
    <row r="162" spans="2:15" ht="16.5" thickBot="1" x14ac:dyDescent="0.3">
      <c r="B162" s="387">
        <f>Quantity_Standard_A5</f>
        <v>0</v>
      </c>
      <c r="C162" s="33" t="str">
        <f t="shared" si="8"/>
        <v>Standard_A5</v>
      </c>
      <c r="D162" s="390">
        <f>Standard_A5_Cores*Quantity_Standard_A5</f>
        <v>0</v>
      </c>
      <c r="E162" s="390">
        <f>Standard_A5_Memory*Quantity_Standard_A5</f>
        <v>0</v>
      </c>
      <c r="F162" s="336"/>
      <c r="G162" s="336"/>
      <c r="H162" s="390">
        <f>Standard_A5_Temp*Quantity_Standard_A5</f>
        <v>0</v>
      </c>
      <c r="I162" s="387">
        <f>Standard_A5_Disk*Quantity_Standard_A5</f>
        <v>0</v>
      </c>
      <c r="J162" s="389">
        <f t="shared" si="9"/>
        <v>0</v>
      </c>
      <c r="L162" s="337" t="s">
        <v>175</v>
      </c>
      <c r="M162" s="338">
        <v>2</v>
      </c>
      <c r="N162" s="338">
        <v>14</v>
      </c>
      <c r="O162" s="338">
        <v>135</v>
      </c>
    </row>
    <row r="163" spans="2:15" ht="16.5" thickBot="1" x14ac:dyDescent="0.3">
      <c r="B163" s="387">
        <f>Quantity_Standard_A6</f>
        <v>0</v>
      </c>
      <c r="C163" s="33" t="str">
        <f t="shared" si="8"/>
        <v>Standard_A6</v>
      </c>
      <c r="D163" s="390">
        <f>Standard_A6_Cores*Quantity_Standard_A6</f>
        <v>0</v>
      </c>
      <c r="E163" s="390">
        <f>Standard_A6_Memory*Quantity_Standard_A6</f>
        <v>0</v>
      </c>
      <c r="F163" s="336"/>
      <c r="G163" s="336"/>
      <c r="H163" s="390">
        <f>Standard_A6_Temp*Quantity_Standard_A6</f>
        <v>0</v>
      </c>
      <c r="I163" s="387">
        <f>Standard_A6_Disk*Quantity_Standard_A6</f>
        <v>0</v>
      </c>
      <c r="J163" s="389">
        <f t="shared" si="9"/>
        <v>0</v>
      </c>
      <c r="L163" s="337" t="s">
        <v>177</v>
      </c>
      <c r="M163" s="338">
        <v>4</v>
      </c>
      <c r="N163" s="338">
        <v>28</v>
      </c>
      <c r="O163" s="338">
        <v>285</v>
      </c>
    </row>
    <row r="164" spans="2:15" ht="16.5" thickBot="1" x14ac:dyDescent="0.3">
      <c r="B164" s="387">
        <f>Quantity_Standard_A7</f>
        <v>0</v>
      </c>
      <c r="C164" s="33" t="str">
        <f t="shared" si="8"/>
        <v>Standard_A7</v>
      </c>
      <c r="D164" s="390">
        <f>Standard_A7_Cores*Quantity_Standard_A7</f>
        <v>0</v>
      </c>
      <c r="E164" s="390">
        <f>Standard_A7_Memory*Quantity_Standard_A7</f>
        <v>0</v>
      </c>
      <c r="F164" s="336"/>
      <c r="G164" s="336"/>
      <c r="H164" s="390">
        <f>Standard_A7_Temp*Quantity_Standard_A7</f>
        <v>0</v>
      </c>
      <c r="I164" s="387">
        <f>Standard_A7_Disk*Quantity_Standard_A7</f>
        <v>0</v>
      </c>
      <c r="J164" s="389">
        <f t="shared" si="9"/>
        <v>0</v>
      </c>
      <c r="L164" s="337" t="s">
        <v>179</v>
      </c>
      <c r="M164" s="338">
        <v>8</v>
      </c>
      <c r="N164" s="338">
        <v>56</v>
      </c>
      <c r="O164" s="338">
        <v>605</v>
      </c>
    </row>
    <row r="165" spans="2:15" ht="16.5" thickBot="1" x14ac:dyDescent="0.3">
      <c r="B165" s="331"/>
      <c r="C165" s="643" t="str">
        <f t="shared" si="8"/>
        <v>Av2-series</v>
      </c>
      <c r="D165" s="644"/>
      <c r="E165" s="644"/>
      <c r="F165" s="644"/>
      <c r="G165" s="644"/>
      <c r="H165" s="645"/>
      <c r="I165" s="331"/>
      <c r="J165" s="325"/>
      <c r="L165" s="639" t="s">
        <v>181</v>
      </c>
      <c r="M165" s="639"/>
      <c r="N165" s="639"/>
      <c r="O165" s="639"/>
    </row>
    <row r="166" spans="2:15" ht="16.5" thickBot="1" x14ac:dyDescent="0.3">
      <c r="B166" s="387">
        <f>Quantity_Standard_A1_v2</f>
        <v>0</v>
      </c>
      <c r="C166" s="391" t="str">
        <f t="shared" si="8"/>
        <v>Standard_A1_v2  </v>
      </c>
      <c r="D166" s="392">
        <f>Standard_A1_v2_Cores*Quantity_Standard_A1_v2</f>
        <v>0</v>
      </c>
      <c r="E166" s="392">
        <f>Standard_A1_v2_Memory*Quantity_Standard_A1_v2</f>
        <v>0</v>
      </c>
      <c r="F166" s="339"/>
      <c r="G166" s="339"/>
      <c r="H166" s="392">
        <f>Standard_A1_v2_Temp*Quantity_Standard_A1_v2</f>
        <v>0</v>
      </c>
      <c r="I166" s="387">
        <f>Standard_A1_v2_Disk*Quantity_Standard_A1_v2</f>
        <v>0</v>
      </c>
      <c r="J166" s="389">
        <f t="shared" si="9"/>
        <v>0</v>
      </c>
      <c r="L166" s="340" t="s">
        <v>183</v>
      </c>
      <c r="M166" s="341">
        <v>1</v>
      </c>
      <c r="N166" s="341">
        <v>2</v>
      </c>
      <c r="O166" s="341">
        <v>10</v>
      </c>
    </row>
    <row r="167" spans="2:15" ht="16.5" thickBot="1" x14ac:dyDescent="0.3">
      <c r="B167" s="387">
        <f>Quantity_Standard_A2_v2</f>
        <v>0</v>
      </c>
      <c r="C167" s="391" t="str">
        <f t="shared" si="8"/>
        <v>Standard_A2_v2  </v>
      </c>
      <c r="D167" s="392">
        <f>Standard_A2_v2_Cores*Quantity_Standard_A2_v2</f>
        <v>0</v>
      </c>
      <c r="E167" s="392">
        <f>Standard_A2_v2_Memory*Quantity_Standard_A2_v2</f>
        <v>0</v>
      </c>
      <c r="F167" s="339"/>
      <c r="G167" s="339"/>
      <c r="H167" s="392">
        <f>Standard_A2_v2_Temp*Quantity_Standard_A2_v2</f>
        <v>0</v>
      </c>
      <c r="I167" s="387">
        <f>Standard_A2_v2_Disk*Quantity_Standard_A2_v2</f>
        <v>0</v>
      </c>
      <c r="J167" s="389">
        <f t="shared" si="9"/>
        <v>0</v>
      </c>
      <c r="L167" s="340" t="s">
        <v>185</v>
      </c>
      <c r="M167" s="341">
        <v>2</v>
      </c>
      <c r="N167" s="341">
        <v>4</v>
      </c>
      <c r="O167" s="341">
        <v>20</v>
      </c>
    </row>
    <row r="168" spans="2:15" ht="16.5" thickBot="1" x14ac:dyDescent="0.3">
      <c r="B168" s="387">
        <f>Quantity_Standard_A4_v2</f>
        <v>0</v>
      </c>
      <c r="C168" s="391" t="str">
        <f t="shared" si="8"/>
        <v>Standard_A4_v2  </v>
      </c>
      <c r="D168" s="392">
        <f>Standard_A4_v2_Cores*Quantity_Standard_A4_v2</f>
        <v>0</v>
      </c>
      <c r="E168" s="392">
        <f>Standard_A4_v2_Memory*Quantity_Standard_A4_v2</f>
        <v>0</v>
      </c>
      <c r="F168" s="339"/>
      <c r="G168" s="339"/>
      <c r="H168" s="392">
        <f>Standard_A4_v2_Temp*Quantity_Standard_A4_v2</f>
        <v>0</v>
      </c>
      <c r="I168" s="387">
        <f>Standard_A4_v2_Disk*Quantity_Standard_A4_v2</f>
        <v>0</v>
      </c>
      <c r="J168" s="389">
        <f t="shared" si="9"/>
        <v>0</v>
      </c>
      <c r="L168" s="340" t="s">
        <v>187</v>
      </c>
      <c r="M168" s="341">
        <v>4</v>
      </c>
      <c r="N168" s="341">
        <v>8</v>
      </c>
      <c r="O168" s="341">
        <v>40</v>
      </c>
    </row>
    <row r="169" spans="2:15" ht="16.5" thickBot="1" x14ac:dyDescent="0.3">
      <c r="B169" s="387">
        <f>Quantity_Standard_A8_v2</f>
        <v>0</v>
      </c>
      <c r="C169" s="391" t="str">
        <f t="shared" si="8"/>
        <v>Standard_A8_v2  </v>
      </c>
      <c r="D169" s="392">
        <f>Standard_A8_v2_Cores*Quantity_Standard_A8_v2</f>
        <v>0</v>
      </c>
      <c r="E169" s="392">
        <f>Standard_A8_v2_Memory*Quantity_Standard_A8_v2</f>
        <v>0</v>
      </c>
      <c r="F169" s="339"/>
      <c r="G169" s="339"/>
      <c r="H169" s="392">
        <f>Standard_A8_v2_Temp*Quantity_Standard_A8_v2</f>
        <v>0</v>
      </c>
      <c r="I169" s="387">
        <f>Standard_A8_v2_Disk*Quantity_Standard_A8_v2</f>
        <v>0</v>
      </c>
      <c r="J169" s="389">
        <f t="shared" si="9"/>
        <v>0</v>
      </c>
      <c r="L169" s="340" t="s">
        <v>189</v>
      </c>
      <c r="M169" s="341">
        <v>8</v>
      </c>
      <c r="N169" s="341">
        <v>16</v>
      </c>
      <c r="O169" s="341">
        <v>80</v>
      </c>
    </row>
    <row r="170" spans="2:15" ht="16.5" thickBot="1" x14ac:dyDescent="0.3">
      <c r="B170" s="387">
        <f>Quantity_Standard_A2m_v2</f>
        <v>0</v>
      </c>
      <c r="C170" s="391" t="str">
        <f t="shared" si="8"/>
        <v>Standard_A2m_v2  </v>
      </c>
      <c r="D170" s="392">
        <f>Standard_A2m_v2_Cores*Quantity_Standard_A2m_v2</f>
        <v>0</v>
      </c>
      <c r="E170" s="392">
        <f>Standard_A2m_v2_Memory*Quantity_Standard_A2m_v2</f>
        <v>0</v>
      </c>
      <c r="F170" s="339"/>
      <c r="G170" s="339"/>
      <c r="H170" s="392">
        <f>Standard_A2m_v2_Temp*Quantity_Standard_A2m_v2</f>
        <v>0</v>
      </c>
      <c r="I170" s="387">
        <f>Standard_A2m_v2_Disk*Quantity_Standard_A2m_v2</f>
        <v>0</v>
      </c>
      <c r="J170" s="389">
        <f t="shared" si="9"/>
        <v>0</v>
      </c>
      <c r="L170" s="340" t="s">
        <v>191</v>
      </c>
      <c r="M170" s="341">
        <v>2</v>
      </c>
      <c r="N170" s="341">
        <v>16</v>
      </c>
      <c r="O170" s="341">
        <v>20</v>
      </c>
    </row>
    <row r="171" spans="2:15" ht="16.5" thickBot="1" x14ac:dyDescent="0.3">
      <c r="B171" s="387">
        <f>Quantity_Standard_A4m_v2</f>
        <v>0</v>
      </c>
      <c r="C171" s="391" t="str">
        <f t="shared" si="8"/>
        <v>Standard_A4m_v2  </v>
      </c>
      <c r="D171" s="392">
        <f>Standard_A4m_v2_Cores*Quantity_Standard_A4m_v2</f>
        <v>0</v>
      </c>
      <c r="E171" s="392">
        <f>Standard_A4m_v2_Memory*Quantity_Standard_A4m_v2</f>
        <v>0</v>
      </c>
      <c r="F171" s="339"/>
      <c r="G171" s="339"/>
      <c r="H171" s="392">
        <f>Standard_A4m_v2_Temp*Quantity_Standard_A4m_v2</f>
        <v>0</v>
      </c>
      <c r="I171" s="387">
        <f>Standard_A4m_v2_Disk*Quantity_Standard_A4m_v2</f>
        <v>0</v>
      </c>
      <c r="J171" s="389">
        <f t="shared" si="9"/>
        <v>0</v>
      </c>
      <c r="L171" s="340" t="s">
        <v>193</v>
      </c>
      <c r="M171" s="341">
        <v>4</v>
      </c>
      <c r="N171" s="341">
        <v>32</v>
      </c>
      <c r="O171" s="341">
        <v>40</v>
      </c>
    </row>
    <row r="172" spans="2:15" ht="16.5" thickBot="1" x14ac:dyDescent="0.3">
      <c r="B172" s="387">
        <f>Quantity_Standard_A8m_v2</f>
        <v>0</v>
      </c>
      <c r="C172" s="391" t="str">
        <f t="shared" si="8"/>
        <v>Standard_A8m_v2  </v>
      </c>
      <c r="D172" s="392">
        <f>Standard_A8m_v2_Cores*Quantity_Standard_A8m_v2</f>
        <v>0</v>
      </c>
      <c r="E172" s="392">
        <f>Standard_A8m_v2_Memory*Quantity_Standard_A8m_v2</f>
        <v>0</v>
      </c>
      <c r="F172" s="339"/>
      <c r="G172" s="339"/>
      <c r="H172" s="392">
        <f>Standard_A8m_v2_Temp*Quantity_Standard_A8m_v2</f>
        <v>0</v>
      </c>
      <c r="I172" s="387">
        <f>Standard_A8m_v2_Disk*Quantity_Standard_A8m_v2</f>
        <v>0</v>
      </c>
      <c r="J172" s="389">
        <f t="shared" si="9"/>
        <v>0</v>
      </c>
      <c r="L172" s="340" t="s">
        <v>195</v>
      </c>
      <c r="M172" s="341">
        <v>8</v>
      </c>
      <c r="N172" s="341">
        <v>64</v>
      </c>
      <c r="O172" s="341">
        <v>80</v>
      </c>
    </row>
    <row r="173" spans="2:15" ht="16.5" thickBot="1" x14ac:dyDescent="0.3">
      <c r="B173" s="331"/>
      <c r="C173" s="643" t="str">
        <f t="shared" si="8"/>
        <v>D-series</v>
      </c>
      <c r="D173" s="644"/>
      <c r="E173" s="644"/>
      <c r="F173" s="644"/>
      <c r="G173" s="644"/>
      <c r="H173" s="645"/>
      <c r="I173" s="331"/>
      <c r="J173" s="325"/>
      <c r="L173" s="639" t="s">
        <v>197</v>
      </c>
      <c r="M173" s="639"/>
      <c r="N173" s="639"/>
      <c r="O173" s="639"/>
    </row>
    <row r="174" spans="2:15" ht="16.5" thickBot="1" x14ac:dyDescent="0.3">
      <c r="B174" s="387">
        <f>Quantity_Standard_D1</f>
        <v>0</v>
      </c>
      <c r="C174" s="109" t="str">
        <f t="shared" si="8"/>
        <v>Standard_D1</v>
      </c>
      <c r="D174" s="388">
        <f>Standard_D1_Cores*Quantity_Standard_D1</f>
        <v>0</v>
      </c>
      <c r="E174" s="388">
        <f>Standard_D1_Memory*Quantity_Standard_D1</f>
        <v>0</v>
      </c>
      <c r="F174" s="332"/>
      <c r="G174" s="332"/>
      <c r="H174" s="388">
        <f>Standard_D1_Temp*Quantity_Standard_D1</f>
        <v>0</v>
      </c>
      <c r="I174" s="387">
        <f>Standard_D1_Disk*Quantity_Standard_D1</f>
        <v>0</v>
      </c>
      <c r="J174" s="389">
        <f t="shared" si="9"/>
        <v>0</v>
      </c>
      <c r="L174" s="333" t="s">
        <v>199</v>
      </c>
      <c r="M174" s="334">
        <v>1</v>
      </c>
      <c r="N174" s="334">
        <v>3.5</v>
      </c>
      <c r="O174" s="334">
        <v>50</v>
      </c>
    </row>
    <row r="175" spans="2:15" ht="16.5" thickBot="1" x14ac:dyDescent="0.3">
      <c r="B175" s="387">
        <f>Quantity_Standard_D2</f>
        <v>0</v>
      </c>
      <c r="C175" s="109" t="str">
        <f t="shared" si="8"/>
        <v>Standard_D2</v>
      </c>
      <c r="D175" s="388">
        <f>Standard_D2_Cores*Quantity_Standard_D2</f>
        <v>0</v>
      </c>
      <c r="E175" s="388">
        <f>Standard_D2_Memory*Quantity_Standard_D2</f>
        <v>0</v>
      </c>
      <c r="F175" s="332"/>
      <c r="G175" s="332"/>
      <c r="H175" s="388">
        <f>Standard_D2_Temp*Quantity_Standard_D2</f>
        <v>0</v>
      </c>
      <c r="I175" s="387">
        <f>Standard_D2_Disk*Quantity_Standard_D2</f>
        <v>0</v>
      </c>
      <c r="J175" s="389">
        <f t="shared" si="9"/>
        <v>0</v>
      </c>
      <c r="L175" s="333" t="s">
        <v>201</v>
      </c>
      <c r="M175" s="334">
        <v>2</v>
      </c>
      <c r="N175" s="334">
        <v>7</v>
      </c>
      <c r="O175" s="334">
        <v>100</v>
      </c>
    </row>
    <row r="176" spans="2:15" ht="16.5" thickBot="1" x14ac:dyDescent="0.3">
      <c r="B176" s="387">
        <f>Quantity_Standard_D3</f>
        <v>0</v>
      </c>
      <c r="C176" s="109" t="str">
        <f t="shared" si="8"/>
        <v>Standard_D3</v>
      </c>
      <c r="D176" s="388">
        <f>Standard_D3_Cores*Quantity_Standard_D3</f>
        <v>0</v>
      </c>
      <c r="E176" s="388">
        <f>Standard_D3_Memory*Quantity_Standard_D3</f>
        <v>0</v>
      </c>
      <c r="F176" s="332"/>
      <c r="G176" s="332"/>
      <c r="H176" s="388">
        <f>Standard_D3_Temp*Quantity_Standard_D3</f>
        <v>0</v>
      </c>
      <c r="I176" s="387">
        <f>Standard_D3_Disk*Quantity_Standard_D3</f>
        <v>0</v>
      </c>
      <c r="J176" s="389">
        <f t="shared" si="9"/>
        <v>0</v>
      </c>
      <c r="L176" s="333" t="s">
        <v>202</v>
      </c>
      <c r="M176" s="334">
        <v>4</v>
      </c>
      <c r="N176" s="334">
        <v>14</v>
      </c>
      <c r="O176" s="334">
        <v>200</v>
      </c>
    </row>
    <row r="177" spans="2:15" ht="16.5" thickBot="1" x14ac:dyDescent="0.3">
      <c r="B177" s="387">
        <f>Quantity_Standard_D4</f>
        <v>0</v>
      </c>
      <c r="C177" s="109" t="str">
        <f t="shared" si="8"/>
        <v>Standard_D4</v>
      </c>
      <c r="D177" s="388">
        <f>Standard_D4_Cores*Quantity_Standard_D4</f>
        <v>0</v>
      </c>
      <c r="E177" s="388">
        <f>Standard_D4_Memory*Quantity_Standard_D4</f>
        <v>0</v>
      </c>
      <c r="F177" s="332"/>
      <c r="G177" s="332"/>
      <c r="H177" s="388">
        <f>Standard_D4_Temp*Quantity_Standard_D4</f>
        <v>0</v>
      </c>
      <c r="I177" s="387">
        <f>Standard_D4_Disk*Quantity_Standard_D4</f>
        <v>0</v>
      </c>
      <c r="J177" s="389">
        <f t="shared" si="9"/>
        <v>0</v>
      </c>
      <c r="L177" s="333" t="s">
        <v>204</v>
      </c>
      <c r="M177" s="334">
        <v>8</v>
      </c>
      <c r="N177" s="334">
        <v>28</v>
      </c>
      <c r="O177" s="334">
        <v>400</v>
      </c>
    </row>
    <row r="178" spans="2:15" ht="16.5" thickBot="1" x14ac:dyDescent="0.3">
      <c r="B178" s="331"/>
      <c r="C178" s="643" t="str">
        <f t="shared" si="8"/>
        <v>DS-series</v>
      </c>
      <c r="D178" s="644"/>
      <c r="E178" s="644"/>
      <c r="F178" s="644"/>
      <c r="G178" s="644"/>
      <c r="H178" s="645"/>
      <c r="I178" s="331"/>
      <c r="J178" s="325"/>
      <c r="L178" s="639" t="s">
        <v>206</v>
      </c>
      <c r="M178" s="639"/>
      <c r="N178" s="639"/>
      <c r="O178" s="639"/>
    </row>
    <row r="179" spans="2:15" ht="16.5" thickBot="1" x14ac:dyDescent="0.3">
      <c r="B179" s="387">
        <f>Quantity_Standard_DS1</f>
        <v>0</v>
      </c>
      <c r="C179" s="33" t="str">
        <f t="shared" si="8"/>
        <v>Standard_DS1</v>
      </c>
      <c r="D179" s="390">
        <f>Standard_DS1_Cores*Quantity_Standard_DS1</f>
        <v>0</v>
      </c>
      <c r="E179" s="390">
        <f>Standard_DS1_Memory*Quantity_Standard_DS1</f>
        <v>0</v>
      </c>
      <c r="F179" s="336"/>
      <c r="G179" s="336"/>
      <c r="H179" s="390">
        <f>Standard_DS1_Temp*Quantity_Standard_DS1</f>
        <v>0</v>
      </c>
      <c r="I179" s="387">
        <f>Standard_DS1_Disk*Quantity_Standard_DS1</f>
        <v>0</v>
      </c>
      <c r="J179" s="389">
        <f t="shared" si="9"/>
        <v>0</v>
      </c>
      <c r="L179" s="337" t="s">
        <v>208</v>
      </c>
      <c r="M179" s="338">
        <v>1</v>
      </c>
      <c r="N179" s="338">
        <v>3.5</v>
      </c>
      <c r="O179" s="338">
        <v>7</v>
      </c>
    </row>
    <row r="180" spans="2:15" ht="16.5" thickBot="1" x14ac:dyDescent="0.3">
      <c r="B180" s="387">
        <f>Quantity_Standard_DS2</f>
        <v>0</v>
      </c>
      <c r="C180" s="33" t="str">
        <f t="shared" si="8"/>
        <v>Standard_DS2</v>
      </c>
      <c r="D180" s="390">
        <f>Standard_DS2_Cores*Quantity_Standard_DS2</f>
        <v>0</v>
      </c>
      <c r="E180" s="390">
        <f>Standard_DS2_Memory*Quantity_Standard_DS2</f>
        <v>0</v>
      </c>
      <c r="F180" s="336"/>
      <c r="G180" s="336"/>
      <c r="H180" s="390">
        <f>Standard_DS2_Temp*Quantity_Standard_DS2</f>
        <v>0</v>
      </c>
      <c r="I180" s="387">
        <f>Standard_DS2_Disk*Quantity_Standard_DS2</f>
        <v>0</v>
      </c>
      <c r="J180" s="389">
        <f t="shared" si="9"/>
        <v>0</v>
      </c>
      <c r="L180" s="337" t="s">
        <v>209</v>
      </c>
      <c r="M180" s="338">
        <v>2</v>
      </c>
      <c r="N180" s="338">
        <v>7</v>
      </c>
      <c r="O180" s="338">
        <v>14</v>
      </c>
    </row>
    <row r="181" spans="2:15" ht="16.5" thickBot="1" x14ac:dyDescent="0.3">
      <c r="B181" s="387">
        <f>Quantity_Standard_DS3</f>
        <v>0</v>
      </c>
      <c r="C181" s="33" t="str">
        <f t="shared" si="8"/>
        <v>Standard_DS3</v>
      </c>
      <c r="D181" s="390">
        <f>Standard_DS3_Cores*Quantity_Standard_DS3</f>
        <v>0</v>
      </c>
      <c r="E181" s="390">
        <f>Standard_DS3_Memory*Quantity_Standard_DS3</f>
        <v>0</v>
      </c>
      <c r="F181" s="336"/>
      <c r="G181" s="336"/>
      <c r="H181" s="390">
        <f>Standard_DS3_Temp*Quantity_Standard_DS3</f>
        <v>0</v>
      </c>
      <c r="I181" s="387">
        <f>Standard_DS3_Disk*Quantity_Standard_DS3</f>
        <v>0</v>
      </c>
      <c r="J181" s="389">
        <f t="shared" si="9"/>
        <v>0</v>
      </c>
      <c r="L181" s="337" t="s">
        <v>210</v>
      </c>
      <c r="M181" s="338">
        <v>4</v>
      </c>
      <c r="N181" s="338">
        <v>14</v>
      </c>
      <c r="O181" s="338">
        <v>28</v>
      </c>
    </row>
    <row r="182" spans="2:15" ht="16.5" thickBot="1" x14ac:dyDescent="0.3">
      <c r="B182" s="387">
        <f>Quantity_Standard_DS4</f>
        <v>0</v>
      </c>
      <c r="C182" s="33" t="str">
        <f t="shared" si="8"/>
        <v>Standard_DS4</v>
      </c>
      <c r="D182" s="390">
        <f>Standard_DS4_Cores*Quantity_Standard_DS4</f>
        <v>0</v>
      </c>
      <c r="E182" s="390">
        <f>Standard_DS4_Memory*Quantity_Standard_DS4</f>
        <v>0</v>
      </c>
      <c r="F182" s="336"/>
      <c r="G182" s="336"/>
      <c r="H182" s="390">
        <f>Standard_DS4_Temp*Quantity_Standard_DS4</f>
        <v>0</v>
      </c>
      <c r="I182" s="387">
        <f>Standard_DS4_Disk*Quantity_Standard_DS4</f>
        <v>0</v>
      </c>
      <c r="J182" s="389">
        <f t="shared" si="9"/>
        <v>0</v>
      </c>
      <c r="L182" s="337" t="s">
        <v>211</v>
      </c>
      <c r="M182" s="338">
        <v>8</v>
      </c>
      <c r="N182" s="338">
        <v>28</v>
      </c>
      <c r="O182" s="338">
        <v>56</v>
      </c>
    </row>
    <row r="183" spans="2:15" ht="16.5" thickBot="1" x14ac:dyDescent="0.3">
      <c r="B183" s="331"/>
      <c r="C183" s="643" t="str">
        <f t="shared" si="8"/>
        <v>Dv2-series</v>
      </c>
      <c r="D183" s="644"/>
      <c r="E183" s="644"/>
      <c r="F183" s="644"/>
      <c r="G183" s="644"/>
      <c r="H183" s="645"/>
      <c r="I183" s="331"/>
      <c r="J183" s="325"/>
      <c r="L183" s="640" t="s">
        <v>212</v>
      </c>
      <c r="M183" s="641"/>
      <c r="N183" s="641"/>
      <c r="O183" s="642"/>
    </row>
    <row r="184" spans="2:15" ht="16.5" thickBot="1" x14ac:dyDescent="0.3">
      <c r="B184" s="387">
        <f>Quantity_Standard_D1_v2</f>
        <v>0</v>
      </c>
      <c r="C184" s="391" t="str">
        <f t="shared" si="8"/>
        <v>Standard_D1_v2</v>
      </c>
      <c r="D184" s="392">
        <f>Standard_D1_v2_Cores*Quantity_Standard_D1_v2</f>
        <v>0</v>
      </c>
      <c r="E184" s="392">
        <f>Standard_D1_v2_Memory*Quantity_Standard_D1_v2</f>
        <v>0</v>
      </c>
      <c r="F184" s="339"/>
      <c r="G184" s="339"/>
      <c r="H184" s="392">
        <f>Standard_D1_v2_Temp*Quantity_Standard_D1_v2</f>
        <v>0</v>
      </c>
      <c r="I184" s="387">
        <f>Standard_D1_v2_Disk*Quantity_Standard_D1_v2</f>
        <v>0</v>
      </c>
      <c r="J184" s="389">
        <f t="shared" si="9"/>
        <v>0</v>
      </c>
      <c r="L184" s="340" t="s">
        <v>213</v>
      </c>
      <c r="M184" s="341">
        <v>1</v>
      </c>
      <c r="N184" s="341">
        <v>3.5</v>
      </c>
      <c r="O184" s="341">
        <v>50</v>
      </c>
    </row>
    <row r="185" spans="2:15" ht="16.5" thickBot="1" x14ac:dyDescent="0.3">
      <c r="B185" s="387">
        <f>Quantity_Standard_D2_v2</f>
        <v>0</v>
      </c>
      <c r="C185" s="391" t="str">
        <f t="shared" si="8"/>
        <v>Standard_D2_v2</v>
      </c>
      <c r="D185" s="392">
        <f>Standard_D2_v2_Cores*Quantity_Standard_D2_v2</f>
        <v>0</v>
      </c>
      <c r="E185" s="392">
        <f>Standard_D2_v2_Memory*Quantity_Standard_D2_v2</f>
        <v>0</v>
      </c>
      <c r="F185" s="339"/>
      <c r="G185" s="339"/>
      <c r="H185" s="392">
        <f>Standard_D2_v2_Temp*Quantity_Standard_D2_v2</f>
        <v>0</v>
      </c>
      <c r="I185" s="387">
        <f>Standard_D2_v2_Disk*Quantity_Standard_D2_v2</f>
        <v>0</v>
      </c>
      <c r="J185" s="389">
        <f t="shared" si="9"/>
        <v>0</v>
      </c>
      <c r="L185" s="340" t="s">
        <v>214</v>
      </c>
      <c r="M185" s="341">
        <v>2</v>
      </c>
      <c r="N185" s="341">
        <v>7</v>
      </c>
      <c r="O185" s="341">
        <v>100</v>
      </c>
    </row>
    <row r="186" spans="2:15" ht="16.5" thickBot="1" x14ac:dyDescent="0.3">
      <c r="B186" s="387">
        <f>Quantity_Standard_D3_v2</f>
        <v>0</v>
      </c>
      <c r="C186" s="391" t="str">
        <f t="shared" si="8"/>
        <v>Standard_D3_v2</v>
      </c>
      <c r="D186" s="392">
        <f>Standard_D3_v2_Cores*Quantity_Standard_D3_v2</f>
        <v>0</v>
      </c>
      <c r="E186" s="392">
        <f>Standard_D3_v2_Memory*Quantity_Standard_D3_v2</f>
        <v>0</v>
      </c>
      <c r="F186" s="339"/>
      <c r="G186" s="339"/>
      <c r="H186" s="392">
        <f>Standard_D3_v2_Temp*Quantity_Standard_D3_v2</f>
        <v>0</v>
      </c>
      <c r="I186" s="387">
        <f>Standard_D3_v2_Disk*Quantity_Standard_D3_v2</f>
        <v>0</v>
      </c>
      <c r="J186" s="389">
        <f t="shared" si="9"/>
        <v>0</v>
      </c>
      <c r="L186" s="340" t="s">
        <v>215</v>
      </c>
      <c r="M186" s="341">
        <v>4</v>
      </c>
      <c r="N186" s="341">
        <v>14</v>
      </c>
      <c r="O186" s="341">
        <v>200</v>
      </c>
    </row>
    <row r="187" spans="2:15" ht="16.5" thickBot="1" x14ac:dyDescent="0.3">
      <c r="B187" s="387">
        <f>Quantity_Standard_D4_v2</f>
        <v>0</v>
      </c>
      <c r="C187" s="391" t="str">
        <f t="shared" si="8"/>
        <v>Standard_D4_v2</v>
      </c>
      <c r="D187" s="392">
        <f>Standard_D4_v2_Cores*Quantity_Standard_D4_v2</f>
        <v>0</v>
      </c>
      <c r="E187" s="392">
        <f>Standard_D4_v2_Memory*Quantity_Standard_D4_v2</f>
        <v>0</v>
      </c>
      <c r="F187" s="339"/>
      <c r="G187" s="339"/>
      <c r="H187" s="392">
        <f>Standard_D4_v2_Temp*Quantity_Standard_D4_v2</f>
        <v>0</v>
      </c>
      <c r="I187" s="387">
        <f>Standard_D4_v2_Disk*Quantity_Standard_D4_v2</f>
        <v>0</v>
      </c>
      <c r="J187" s="389">
        <f t="shared" si="9"/>
        <v>0</v>
      </c>
      <c r="L187" s="340" t="s">
        <v>216</v>
      </c>
      <c r="M187" s="341">
        <v>8</v>
      </c>
      <c r="N187" s="341">
        <v>28</v>
      </c>
      <c r="O187" s="341">
        <v>400</v>
      </c>
    </row>
    <row r="188" spans="2:15" ht="16.5" thickBot="1" x14ac:dyDescent="0.3">
      <c r="B188" s="387">
        <f>Quantity_Standard_D5_v2</f>
        <v>0</v>
      </c>
      <c r="C188" s="391" t="str">
        <f t="shared" si="8"/>
        <v>Standard_D5_v2</v>
      </c>
      <c r="D188" s="392">
        <f>Standard_D5_v2_Cores*Quantity_Standard_D5_v2</f>
        <v>0</v>
      </c>
      <c r="E188" s="392">
        <f>Standard_D5_v2_Memory*Quantity_Standard_D5_v2</f>
        <v>0</v>
      </c>
      <c r="F188" s="339"/>
      <c r="G188" s="339"/>
      <c r="H188" s="392">
        <f>Standard_D5_v2_Temp*Quantity_Standard_D5_v2</f>
        <v>0</v>
      </c>
      <c r="I188" s="387">
        <f>Standard_D5_v2_Disk*Quantity_Standard_D5_v2</f>
        <v>0</v>
      </c>
      <c r="J188" s="389">
        <f t="shared" si="9"/>
        <v>0</v>
      </c>
      <c r="L188" s="340" t="s">
        <v>217</v>
      </c>
      <c r="M188" s="341">
        <v>16</v>
      </c>
      <c r="N188" s="341">
        <v>56</v>
      </c>
      <c r="O188" s="341">
        <v>800</v>
      </c>
    </row>
    <row r="189" spans="2:15" ht="16.5" thickBot="1" x14ac:dyDescent="0.3">
      <c r="B189" s="331"/>
      <c r="C189" s="643" t="str">
        <f>C59</f>
        <v>Dv3-series</v>
      </c>
      <c r="D189" s="644"/>
      <c r="E189" s="644"/>
      <c r="F189" s="644"/>
      <c r="G189" s="644"/>
      <c r="H189" s="645"/>
      <c r="I189" s="331"/>
      <c r="J189" s="325"/>
      <c r="L189" s="640" t="s">
        <v>231</v>
      </c>
      <c r="M189" s="641"/>
      <c r="N189" s="641"/>
      <c r="O189" s="642"/>
    </row>
    <row r="190" spans="2:15" ht="16.5" thickBot="1" x14ac:dyDescent="0.3">
      <c r="B190" s="387">
        <f>Quantity_Standard_D2_V3</f>
        <v>0</v>
      </c>
      <c r="C190" s="271" t="s">
        <v>232</v>
      </c>
      <c r="D190" s="388" cm="1">
        <f t="array" ref="D190" xml:space="preserve"> Standard_D2_V3_Cores * Quantity_Standard_D2_V3</f>
        <v>0</v>
      </c>
      <c r="E190" s="388">
        <f>Standard_D2_V3_Memory*Quantity_Standard_D2_V3</f>
        <v>0</v>
      </c>
      <c r="F190" s="332"/>
      <c r="G190" s="332"/>
      <c r="H190" s="388">
        <f>Standard_D2_V3_Temp*Quantity_Standard_D2_V3</f>
        <v>0</v>
      </c>
      <c r="I190" s="387">
        <f>Standard_D2_V3_Disk*Quantity_Standard_D2_V3</f>
        <v>0</v>
      </c>
      <c r="J190" s="389">
        <f t="shared" si="9"/>
        <v>0</v>
      </c>
      <c r="L190" s="333" t="s">
        <v>232</v>
      </c>
      <c r="M190" s="334">
        <v>2</v>
      </c>
      <c r="N190" s="334">
        <v>8</v>
      </c>
      <c r="O190" s="334">
        <v>50</v>
      </c>
    </row>
    <row r="191" spans="2:15" ht="16.5" thickBot="1" x14ac:dyDescent="0.3">
      <c r="B191" s="387" cm="1">
        <f t="array" ref="B191">Quantity_Standard_D4_V3</f>
        <v>0</v>
      </c>
      <c r="C191" s="271" t="s">
        <v>233</v>
      </c>
      <c r="D191" s="388">
        <f>Standard_D4_V3_Cores*Quantity_Standard_D4_V3</f>
        <v>0</v>
      </c>
      <c r="E191" s="388">
        <f>Standard_D4_V3_Memory*Quantity_Standard_D4_V3</f>
        <v>0</v>
      </c>
      <c r="F191" s="332"/>
      <c r="G191" s="332"/>
      <c r="H191" s="388">
        <f>Standard_D4_V3_Temp*Quantity_Standard_D4_V3</f>
        <v>0</v>
      </c>
      <c r="I191" s="387">
        <f>Standard_D4_V3_Disk*Quantity_Standard_D4_V3</f>
        <v>0</v>
      </c>
      <c r="J191" s="389">
        <f t="shared" si="9"/>
        <v>0</v>
      </c>
      <c r="L191" s="333" t="s">
        <v>233</v>
      </c>
      <c r="M191" s="334">
        <v>4</v>
      </c>
      <c r="N191" s="334">
        <v>16</v>
      </c>
      <c r="O191" s="334">
        <v>100</v>
      </c>
    </row>
    <row r="192" spans="2:15" ht="16.5" thickBot="1" x14ac:dyDescent="0.3">
      <c r="B192" s="387">
        <f>Quantity_Standard_D8_V3</f>
        <v>0</v>
      </c>
      <c r="C192" s="271" t="s">
        <v>234</v>
      </c>
      <c r="D192" s="388">
        <f>Standard_D8_V3_Cores*Quantity_Standard_D8_V3</f>
        <v>0</v>
      </c>
      <c r="E192" s="388">
        <f>Standard_D8_V3_Memory*Quantity_Standard_D8_V3</f>
        <v>0</v>
      </c>
      <c r="F192" s="332"/>
      <c r="G192" s="332"/>
      <c r="H192" s="388">
        <f>Standard_D8_V3_Temp*Quantity_Standard_D8_V3</f>
        <v>0</v>
      </c>
      <c r="I192" s="387">
        <f>Standard_D8_V3_Disk*Quantity_Standard_D8_V3</f>
        <v>0</v>
      </c>
      <c r="J192" s="389">
        <f t="shared" si="9"/>
        <v>0</v>
      </c>
      <c r="L192" s="333" t="s">
        <v>234</v>
      </c>
      <c r="M192" s="334">
        <v>8</v>
      </c>
      <c r="N192" s="334">
        <v>32</v>
      </c>
      <c r="O192" s="334">
        <v>200</v>
      </c>
    </row>
    <row r="193" spans="2:15" ht="16.5" thickBot="1" x14ac:dyDescent="0.3">
      <c r="B193" s="387">
        <f>Quantity_Standard_D16_V3</f>
        <v>0</v>
      </c>
      <c r="C193" s="271" t="s">
        <v>235</v>
      </c>
      <c r="D193" s="388">
        <f>Standard_D16_V3_Cores*Quantity_Standard_D16_V3</f>
        <v>0</v>
      </c>
      <c r="E193" s="388">
        <f>Standard_D16_V3_Memory*Quantity_Standard_D16_V3</f>
        <v>0</v>
      </c>
      <c r="F193" s="332"/>
      <c r="G193" s="332"/>
      <c r="H193" s="388">
        <f>Standard_D16_V3_Temp*Quantity_Standard_D16_V3</f>
        <v>0</v>
      </c>
      <c r="I193" s="387">
        <f>Standard_D16_V3_Disk*Quantity_Standard_D16_V3</f>
        <v>0</v>
      </c>
      <c r="J193" s="389">
        <f t="shared" si="9"/>
        <v>0</v>
      </c>
      <c r="L193" s="333" t="s">
        <v>235</v>
      </c>
      <c r="M193" s="334">
        <v>16</v>
      </c>
      <c r="N193" s="334">
        <v>64</v>
      </c>
      <c r="O193" s="334">
        <v>400</v>
      </c>
    </row>
    <row r="194" spans="2:15" ht="16.5" thickBot="1" x14ac:dyDescent="0.3">
      <c r="B194" s="387">
        <f>Quantity_Standard_D32_V3</f>
        <v>0</v>
      </c>
      <c r="C194" s="271" t="s">
        <v>236</v>
      </c>
      <c r="D194" s="388">
        <f>Standard_D32_V3_Cores*Quantity_Standard_D32_V3</f>
        <v>0</v>
      </c>
      <c r="E194" s="388">
        <f>Standard_D32_V3_Memory*Quantity_Standard_D32_V3</f>
        <v>0</v>
      </c>
      <c r="F194" s="332"/>
      <c r="G194" s="332"/>
      <c r="H194" s="388">
        <f>Standard_D32_V3_Temp*Quantity_Standard_D32_V3</f>
        <v>0</v>
      </c>
      <c r="I194" s="387">
        <f>Standard_D32_V3_Disk*Quantity_Standard_D32_V3</f>
        <v>0</v>
      </c>
      <c r="J194" s="389">
        <f t="shared" si="9"/>
        <v>0</v>
      </c>
      <c r="L194" s="333" t="s">
        <v>236</v>
      </c>
      <c r="M194" s="334">
        <v>32</v>
      </c>
      <c r="N194" s="334">
        <v>128</v>
      </c>
      <c r="O194" s="334">
        <v>800</v>
      </c>
    </row>
    <row r="195" spans="2:15" ht="16.5" thickBot="1" x14ac:dyDescent="0.3">
      <c r="B195" s="331"/>
      <c r="C195" s="643" t="str">
        <f t="shared" ref="C195:C200" si="10">C46</f>
        <v>DSv2-series</v>
      </c>
      <c r="D195" s="644"/>
      <c r="E195" s="644"/>
      <c r="F195" s="644"/>
      <c r="G195" s="644"/>
      <c r="H195" s="645"/>
      <c r="I195" s="331"/>
      <c r="J195" s="325"/>
      <c r="L195" s="639" t="s">
        <v>218</v>
      </c>
      <c r="M195" s="639"/>
      <c r="N195" s="639"/>
      <c r="O195" s="639"/>
    </row>
    <row r="196" spans="2:15" ht="16.5" thickBot="1" x14ac:dyDescent="0.3">
      <c r="B196" s="387">
        <f>Quantity_Standard_DS1_v2</f>
        <v>0</v>
      </c>
      <c r="C196" s="33" t="str">
        <f t="shared" si="10"/>
        <v>Standard_DS1_v2</v>
      </c>
      <c r="D196" s="390">
        <f>Standard_DS1_v2_Cores*Quantity_Standard_DS1_v2</f>
        <v>0</v>
      </c>
      <c r="E196" s="390">
        <f>Standard_DS1_v2_Memory*Quantity_Standard_DS1_v2</f>
        <v>0</v>
      </c>
      <c r="F196" s="336"/>
      <c r="G196" s="336"/>
      <c r="H196" s="390">
        <f>Standard_DS1_v2_Temp*Quantity_Standard_DS1_v2</f>
        <v>0</v>
      </c>
      <c r="I196" s="387">
        <f>Standard_DS1_v2_Disk*Quantity_Standard_DS1_v2</f>
        <v>0</v>
      </c>
      <c r="J196" s="389">
        <f t="shared" si="9"/>
        <v>0</v>
      </c>
      <c r="L196" s="337" t="s">
        <v>219</v>
      </c>
      <c r="M196" s="338">
        <v>1</v>
      </c>
      <c r="N196" s="338">
        <v>3.5</v>
      </c>
      <c r="O196" s="338">
        <v>7</v>
      </c>
    </row>
    <row r="197" spans="2:15" ht="16.5" thickBot="1" x14ac:dyDescent="0.3">
      <c r="B197" s="387">
        <f>Quantity_Standard_DS2_v2</f>
        <v>0</v>
      </c>
      <c r="C197" s="33" t="str">
        <f t="shared" si="10"/>
        <v>Standard_DS2_v2</v>
      </c>
      <c r="D197" s="390">
        <f>Standard_DS2_v2_Cores*Quantity_Standard_DS2_v2</f>
        <v>0</v>
      </c>
      <c r="E197" s="390">
        <f>Standard_DS2_v2_Memory*Quantity_Standard_DS2_v2</f>
        <v>0</v>
      </c>
      <c r="F197" s="336"/>
      <c r="G197" s="336"/>
      <c r="H197" s="390">
        <f>Standard_DS2_v2_Temp*Quantity_Standard_DS2_v2</f>
        <v>0</v>
      </c>
      <c r="I197" s="387">
        <f>Standard_DS2_v2_Disk*Quantity_Standard_DS2_v2</f>
        <v>0</v>
      </c>
      <c r="J197" s="389">
        <f t="shared" si="9"/>
        <v>0</v>
      </c>
      <c r="L197" s="337" t="s">
        <v>220</v>
      </c>
      <c r="M197" s="338">
        <v>2</v>
      </c>
      <c r="N197" s="338">
        <v>7</v>
      </c>
      <c r="O197" s="338">
        <v>14</v>
      </c>
    </row>
    <row r="198" spans="2:15" ht="16.5" thickBot="1" x14ac:dyDescent="0.3">
      <c r="B198" s="387">
        <f>Quantity_Standard_DS3_v2</f>
        <v>0</v>
      </c>
      <c r="C198" s="33" t="str">
        <f t="shared" si="10"/>
        <v>Standard_DS3_v2</v>
      </c>
      <c r="D198" s="390">
        <f>Standard_DS3_v2_Cores*Quantity_Standard_DS3_v2</f>
        <v>0</v>
      </c>
      <c r="E198" s="390">
        <f>Standard_DS3_v2_Memory*Quantity_Standard_DS3_v2</f>
        <v>0</v>
      </c>
      <c r="F198" s="336"/>
      <c r="G198" s="336"/>
      <c r="H198" s="390">
        <f>Standard_DS3_v2_Temp*Quantity_Standard_DS3_v2</f>
        <v>0</v>
      </c>
      <c r="I198" s="387">
        <f>Standard_DS3_v2_Disk*Quantity_Standard_DS3_v2</f>
        <v>0</v>
      </c>
      <c r="J198" s="389">
        <f t="shared" si="9"/>
        <v>0</v>
      </c>
      <c r="L198" s="337" t="s">
        <v>221</v>
      </c>
      <c r="M198" s="338">
        <v>4</v>
      </c>
      <c r="N198" s="338">
        <v>14</v>
      </c>
      <c r="O198" s="338">
        <v>28</v>
      </c>
    </row>
    <row r="199" spans="2:15" ht="16.5" thickBot="1" x14ac:dyDescent="0.3">
      <c r="B199" s="387">
        <f>Quantity_Standard_DS4_v2</f>
        <v>0</v>
      </c>
      <c r="C199" s="33" t="str">
        <f t="shared" si="10"/>
        <v>Standard_DS4_v2</v>
      </c>
      <c r="D199" s="390">
        <f>Standard_DS4_v2_Cores*Quantity_Standard_DS4_v2</f>
        <v>0</v>
      </c>
      <c r="E199" s="390">
        <f>Standard_DS4_v2_Memory*Quantity_Standard_DS4_v2</f>
        <v>0</v>
      </c>
      <c r="F199" s="336"/>
      <c r="G199" s="336"/>
      <c r="H199" s="390">
        <f>Standard_DS4_v2_Temp*Quantity_Standard_DS4_v2</f>
        <v>0</v>
      </c>
      <c r="I199" s="387">
        <f>Standard_DS4_v2_Disk*Quantity_Standard_DS4_v2</f>
        <v>0</v>
      </c>
      <c r="J199" s="389">
        <f t="shared" si="9"/>
        <v>0</v>
      </c>
      <c r="L199" s="337" t="s">
        <v>222</v>
      </c>
      <c r="M199" s="338">
        <v>8</v>
      </c>
      <c r="N199" s="338">
        <v>28</v>
      </c>
      <c r="O199" s="338">
        <v>56</v>
      </c>
    </row>
    <row r="200" spans="2:15" ht="16.5" thickBot="1" x14ac:dyDescent="0.3">
      <c r="B200" s="387">
        <f>Quantity_Standard_DS5_v2</f>
        <v>0</v>
      </c>
      <c r="C200" s="33" t="str">
        <f t="shared" si="10"/>
        <v>Standard_DS5_v2</v>
      </c>
      <c r="D200" s="390">
        <f>Standard_DS5_v2_Cores*Quantity_Standard_DS5_v2</f>
        <v>0</v>
      </c>
      <c r="E200" s="390">
        <f>Standard_DS5_v2_Memory*Quantity_Standard_DS5_v2</f>
        <v>0</v>
      </c>
      <c r="F200" s="336"/>
      <c r="G200" s="336"/>
      <c r="H200" s="390">
        <f>Standard_DS5_v2_Temp*Quantity_Standard_DS5_v2</f>
        <v>0</v>
      </c>
      <c r="I200" s="387">
        <f>Standard_DS5_v2_Disk*Quantity_Standard_DS5_v2</f>
        <v>0</v>
      </c>
      <c r="J200" s="389">
        <f t="shared" si="9"/>
        <v>0</v>
      </c>
      <c r="L200" s="337" t="s">
        <v>223</v>
      </c>
      <c r="M200" s="338">
        <v>16</v>
      </c>
      <c r="N200" s="338">
        <v>56</v>
      </c>
      <c r="O200" s="338">
        <v>112</v>
      </c>
    </row>
    <row r="201" spans="2:15" ht="16.5" thickBot="1" x14ac:dyDescent="0.3">
      <c r="B201" s="387">
        <f>Quantity_Standard_DS11_1_v2</f>
        <v>0</v>
      </c>
      <c r="C201" s="335" t="s">
        <v>224</v>
      </c>
      <c r="D201" s="390">
        <f>Standard_DS11_1_v2_Cores*Quantity_Standard_DS11_1_v2</f>
        <v>0</v>
      </c>
      <c r="E201" s="390">
        <f>Standard_DS11_1_v2_Memory*Quantity_Standard_DS11_1_v2</f>
        <v>0</v>
      </c>
      <c r="F201" s="336"/>
      <c r="G201" s="336"/>
      <c r="H201" s="390">
        <f>Standard_DS11_1_v2_Temp*Quantity_Standard_DS11_1_v2</f>
        <v>0</v>
      </c>
      <c r="I201" s="387">
        <f>Standard_DS11_1_v2_Disk*Quantity_Standard_DS11_1_v2</f>
        <v>0</v>
      </c>
      <c r="J201" s="389">
        <f t="shared" si="9"/>
        <v>0</v>
      </c>
      <c r="L201" s="337" t="s">
        <v>224</v>
      </c>
      <c r="M201" s="338">
        <v>1</v>
      </c>
      <c r="N201" s="338">
        <v>14</v>
      </c>
      <c r="O201" s="338">
        <v>28</v>
      </c>
    </row>
    <row r="202" spans="2:15" ht="16.5" thickBot="1" x14ac:dyDescent="0.3">
      <c r="B202" s="387">
        <f>Quantity_Standard_DS12_1_v2</f>
        <v>0</v>
      </c>
      <c r="C202" s="335" t="s">
        <v>225</v>
      </c>
      <c r="D202" s="390">
        <f>Standard_DS12_1_v2_Cores*Quantity_Standard_DS12_1_v2</f>
        <v>0</v>
      </c>
      <c r="E202" s="390">
        <f>Standard_DS12_1_v2_Memory*Quantity_Standard_DS12_1_v2</f>
        <v>0</v>
      </c>
      <c r="F202" s="336"/>
      <c r="G202" s="336"/>
      <c r="H202" s="390">
        <f>Standard_DS12_1_v2_Temp*Quantity_Standard_DS12_1_v2</f>
        <v>0</v>
      </c>
      <c r="I202" s="387">
        <f>Standard_DS12_1_v2_Disk*Quantity_Standard_DS12_1_v2</f>
        <v>0</v>
      </c>
      <c r="J202" s="389">
        <f t="shared" si="9"/>
        <v>0</v>
      </c>
      <c r="L202" s="337" t="s">
        <v>225</v>
      </c>
      <c r="M202" s="338">
        <v>1</v>
      </c>
      <c r="N202" s="338">
        <v>28</v>
      </c>
      <c r="O202" s="338">
        <v>56</v>
      </c>
    </row>
    <row r="203" spans="2:15" ht="16.5" thickBot="1" x14ac:dyDescent="0.3">
      <c r="B203" s="387">
        <f>Quantity_Standard_DS12_2_v2</f>
        <v>0</v>
      </c>
      <c r="C203" s="335" t="s">
        <v>226</v>
      </c>
      <c r="D203" s="390">
        <f>Standard_DS12_2_v2_Cores*Quantity_Standard_DS12_2_v2</f>
        <v>0</v>
      </c>
      <c r="E203" s="390">
        <f>Standard_DS12_2_v2_Memory*Quantity_Standard_DS12_2_v2</f>
        <v>0</v>
      </c>
      <c r="F203" s="336"/>
      <c r="G203" s="336"/>
      <c r="H203" s="390">
        <f>Standard_DS12_2_v2_Temp*Quantity_Standard_DS12_2_v2</f>
        <v>0</v>
      </c>
      <c r="I203" s="387">
        <f>Standard_DS12_2_v2_Disk*Quantity_Standard_DS12_2_v2</f>
        <v>0</v>
      </c>
      <c r="J203" s="389">
        <f t="shared" si="9"/>
        <v>0</v>
      </c>
      <c r="L203" s="337" t="s">
        <v>226</v>
      </c>
      <c r="M203" s="338">
        <v>2</v>
      </c>
      <c r="N203" s="338">
        <v>28</v>
      </c>
      <c r="O203" s="338">
        <v>56</v>
      </c>
    </row>
    <row r="204" spans="2:15" ht="16.5" thickBot="1" x14ac:dyDescent="0.3">
      <c r="B204" s="387">
        <f>Quantity_Standard_DS13_4_v2</f>
        <v>0</v>
      </c>
      <c r="C204" s="335" t="s">
        <v>227</v>
      </c>
      <c r="D204" s="390">
        <f>Standard_DS13_4_v2_Cores*Quantity_Standard_DS13_4_v2</f>
        <v>0</v>
      </c>
      <c r="E204" s="390">
        <f>Standard_DS13_4_v2_Memory*Quantity_Standard_DS13_4_v2</f>
        <v>0</v>
      </c>
      <c r="F204" s="336"/>
      <c r="G204" s="336"/>
      <c r="H204" s="390">
        <f>Standard_DS13_4_v2_Temp*Quantity_Standard_DS13_4_v2</f>
        <v>0</v>
      </c>
      <c r="I204" s="387">
        <f>Standard_DS13_4_v2_Disk*Quantity_Standard_DS13_4_v2</f>
        <v>0</v>
      </c>
      <c r="J204" s="389">
        <f t="shared" si="9"/>
        <v>0</v>
      </c>
      <c r="L204" s="337" t="s">
        <v>227</v>
      </c>
      <c r="M204" s="338">
        <v>4</v>
      </c>
      <c r="N204" s="338">
        <v>56</v>
      </c>
      <c r="O204" s="338">
        <v>112</v>
      </c>
    </row>
    <row r="205" spans="2:15" ht="16.5" thickBot="1" x14ac:dyDescent="0.3">
      <c r="B205" s="387">
        <f>Quantity_Standard_DS13_2_v2</f>
        <v>0</v>
      </c>
      <c r="C205" s="335" t="s">
        <v>228</v>
      </c>
      <c r="D205" s="390">
        <f>Standard_DS13_2_v2_Cores*Quantity_Standard_DS13_2_v2</f>
        <v>0</v>
      </c>
      <c r="E205" s="390">
        <f>Standard_DS13_2_v2_Memory*Quantity_Standard_DS13_2_v2</f>
        <v>0</v>
      </c>
      <c r="F205" s="336"/>
      <c r="G205" s="336"/>
      <c r="H205" s="390">
        <f>Standard_DS13_2_v2_Temp*Quantity_Standard_DS13_2_v2</f>
        <v>0</v>
      </c>
      <c r="I205" s="387">
        <f>Standard_DS13_2_v2_Disk*Quantity_Standard_DS13_2_v2</f>
        <v>0</v>
      </c>
      <c r="J205" s="389">
        <f t="shared" si="9"/>
        <v>0</v>
      </c>
      <c r="L205" s="337" t="s">
        <v>228</v>
      </c>
      <c r="M205" s="338">
        <v>2</v>
      </c>
      <c r="N205" s="338">
        <v>56</v>
      </c>
      <c r="O205" s="338">
        <v>112</v>
      </c>
    </row>
    <row r="206" spans="2:15" ht="16.5" thickBot="1" x14ac:dyDescent="0.3">
      <c r="B206" s="387">
        <f>Quantity_Standard_DS14_8_v2</f>
        <v>0</v>
      </c>
      <c r="C206" s="335" t="s">
        <v>229</v>
      </c>
      <c r="D206" s="390">
        <f>Standard_DS14_8_v2_Cores*Quantity_Standard_DS14_8_v2</f>
        <v>0</v>
      </c>
      <c r="E206" s="390">
        <f>Standard_DS14_8_v2_Memory*Quantity_Standard_DS14_8_v2</f>
        <v>0</v>
      </c>
      <c r="F206" s="336"/>
      <c r="G206" s="336"/>
      <c r="H206" s="390">
        <f>Standard_DS14_8_v2_Temp*Quantity_Standard_DS14_8_v2</f>
        <v>0</v>
      </c>
      <c r="I206" s="387">
        <f>Standard_DS14_8_v2_Disk*Quantity_Standard_DS14_8_v2</f>
        <v>0</v>
      </c>
      <c r="J206" s="389">
        <f t="shared" si="9"/>
        <v>0</v>
      </c>
      <c r="L206" s="337" t="s">
        <v>229</v>
      </c>
      <c r="M206" s="338">
        <v>8</v>
      </c>
      <c r="N206" s="338">
        <v>112</v>
      </c>
      <c r="O206" s="338">
        <v>224</v>
      </c>
    </row>
    <row r="207" spans="2:15" ht="16.5" thickBot="1" x14ac:dyDescent="0.3">
      <c r="B207" s="387">
        <f>Quantity_Standard_DS14_4_v2</f>
        <v>0</v>
      </c>
      <c r="C207" s="335" t="s">
        <v>230</v>
      </c>
      <c r="D207" s="390">
        <f>Standard_DS14_4_v2_Cores*Quantity_Standard_DS14_4_v2</f>
        <v>0</v>
      </c>
      <c r="E207" s="390">
        <f>Standard_DS14_4_v2_Memory*Quantity_Standard_DS14_4_v2</f>
        <v>0</v>
      </c>
      <c r="F207" s="336"/>
      <c r="G207" s="336"/>
      <c r="H207" s="390">
        <f>Standard_DS14_4_v2_Temp*Quantity_Standard_DS14_4_v2</f>
        <v>0</v>
      </c>
      <c r="I207" s="387">
        <f>Standard_DS14_4_v2_Disk*Quantity_Standard_DS14_4_v2</f>
        <v>0</v>
      </c>
      <c r="J207" s="389">
        <f t="shared" si="9"/>
        <v>0</v>
      </c>
      <c r="L207" s="337" t="s">
        <v>230</v>
      </c>
      <c r="M207" s="338">
        <v>4</v>
      </c>
      <c r="N207" s="338">
        <v>112</v>
      </c>
      <c r="O207" s="338">
        <v>224</v>
      </c>
    </row>
    <row r="208" spans="2:15" ht="16.5" thickBot="1" x14ac:dyDescent="0.3">
      <c r="B208" s="342"/>
      <c r="C208" s="659" t="s">
        <v>325</v>
      </c>
      <c r="D208" s="660"/>
      <c r="E208" s="660"/>
      <c r="F208" s="660"/>
      <c r="G208" s="660"/>
      <c r="H208" s="660"/>
      <c r="I208" s="343"/>
      <c r="J208" s="325"/>
      <c r="L208" s="634"/>
      <c r="M208" s="635"/>
      <c r="N208" s="635"/>
      <c r="O208" s="636"/>
    </row>
    <row r="209" spans="2:15" ht="16.5" thickBot="1" x14ac:dyDescent="0.3">
      <c r="B209" s="331"/>
      <c r="C209" s="643" t="str">
        <f t="shared" ref="C209:C229" si="11">C66</f>
        <v>D-series</v>
      </c>
      <c r="D209" s="644">
        <f>Standard_D5_v2_Cores*Quantity_Standard_D5_v2</f>
        <v>0</v>
      </c>
      <c r="E209" s="644">
        <f>Standard_D5_v2_Memory*Quantity_Standard_D5_v2</f>
        <v>0</v>
      </c>
      <c r="F209" s="644"/>
      <c r="G209" s="644"/>
      <c r="H209" s="645">
        <f>Standard_D5_v2_Temp*Quantity_Standard_D5_v2</f>
        <v>0</v>
      </c>
      <c r="I209" s="331"/>
      <c r="J209" s="325"/>
      <c r="L209" s="640" t="s">
        <v>197</v>
      </c>
      <c r="M209" s="641">
        <v>0</v>
      </c>
      <c r="N209" s="641">
        <v>0</v>
      </c>
      <c r="O209" s="642">
        <v>0</v>
      </c>
    </row>
    <row r="210" spans="2:15" ht="16.5" thickBot="1" x14ac:dyDescent="0.3">
      <c r="B210" s="387">
        <f>Quantity_Standard_D11</f>
        <v>0</v>
      </c>
      <c r="C210" s="391" t="str">
        <f t="shared" si="11"/>
        <v>Standard_D11</v>
      </c>
      <c r="D210" s="392">
        <f>Standard_D11_Cores*Quantity_Standard_D11</f>
        <v>0</v>
      </c>
      <c r="E210" s="392">
        <f>Standard_D11_Memory*Quantity_Standard_D11</f>
        <v>0</v>
      </c>
      <c r="F210" s="339"/>
      <c r="G210" s="339"/>
      <c r="H210" s="392">
        <f>Standard_D11_Temp*Quantity_Standard_D11</f>
        <v>0</v>
      </c>
      <c r="I210" s="387">
        <f>Standard_D11_Disk*Quantity_Standard_D11</f>
        <v>0</v>
      </c>
      <c r="J210" s="389">
        <f t="shared" si="9"/>
        <v>0</v>
      </c>
      <c r="L210" s="340" t="s">
        <v>238</v>
      </c>
      <c r="M210" s="341">
        <v>2</v>
      </c>
      <c r="N210" s="341">
        <v>14</v>
      </c>
      <c r="O210" s="341">
        <v>100</v>
      </c>
    </row>
    <row r="211" spans="2:15" ht="16.5" thickBot="1" x14ac:dyDescent="0.3">
      <c r="B211" s="387">
        <f>Quantity_Standard_D12</f>
        <v>0</v>
      </c>
      <c r="C211" s="391" t="str">
        <f t="shared" si="11"/>
        <v>Standard_D12</v>
      </c>
      <c r="D211" s="392">
        <f>Standard_D12_Cores*Quantity_Standard_D12</f>
        <v>0</v>
      </c>
      <c r="E211" s="392">
        <f>Standard_D12_Memory*Quantity_Standard_D12</f>
        <v>0</v>
      </c>
      <c r="F211" s="339"/>
      <c r="G211" s="339"/>
      <c r="H211" s="392">
        <f>Standard_D12_Temp*Quantity_Standard_D12</f>
        <v>0</v>
      </c>
      <c r="I211" s="387">
        <f>Standard_D12_Disk*Quantity_Standard_D12</f>
        <v>0</v>
      </c>
      <c r="J211" s="389">
        <f t="shared" si="9"/>
        <v>0</v>
      </c>
      <c r="L211" s="340" t="s">
        <v>240</v>
      </c>
      <c r="M211" s="341">
        <v>4</v>
      </c>
      <c r="N211" s="341">
        <v>28</v>
      </c>
      <c r="O211" s="341">
        <v>200</v>
      </c>
    </row>
    <row r="212" spans="2:15" ht="16.5" thickBot="1" x14ac:dyDescent="0.3">
      <c r="B212" s="387">
        <f>Quantity_Standard_D13</f>
        <v>0</v>
      </c>
      <c r="C212" s="391" t="str">
        <f t="shared" si="11"/>
        <v>Standard_D13</v>
      </c>
      <c r="D212" s="392">
        <f>Standard_D13_Cores*Quantity_Standard_D13</f>
        <v>0</v>
      </c>
      <c r="E212" s="392">
        <f>Standard_D13_Memory*Quantity_Standard_D13</f>
        <v>0</v>
      </c>
      <c r="F212" s="339"/>
      <c r="G212" s="339"/>
      <c r="H212" s="392">
        <f>Standard_D13_Temp*Quantity_Standard_D13</f>
        <v>0</v>
      </c>
      <c r="I212" s="387">
        <f>Standard_D13_Disk*Quantity_Standard_D13</f>
        <v>0</v>
      </c>
      <c r="J212" s="389">
        <f t="shared" si="9"/>
        <v>0</v>
      </c>
      <c r="L212" s="340" t="s">
        <v>242</v>
      </c>
      <c r="M212" s="341">
        <v>8</v>
      </c>
      <c r="N212" s="341">
        <v>56</v>
      </c>
      <c r="O212" s="341">
        <v>400</v>
      </c>
    </row>
    <row r="213" spans="2:15" ht="16.5" thickBot="1" x14ac:dyDescent="0.3">
      <c r="B213" s="387">
        <f>Quantity_Standard_D14</f>
        <v>0</v>
      </c>
      <c r="C213" s="391" t="str">
        <f t="shared" si="11"/>
        <v>Standard_D14</v>
      </c>
      <c r="D213" s="392">
        <f>Standard_D14_Cores*Quantity_Standard_D14</f>
        <v>0</v>
      </c>
      <c r="E213" s="392">
        <f>Standard_D14_Memory*Quantity_Standard_D14</f>
        <v>0</v>
      </c>
      <c r="F213" s="339"/>
      <c r="G213" s="339"/>
      <c r="H213" s="392">
        <f>Standard_D14_Temp*Quantity_Standard_D14</f>
        <v>0</v>
      </c>
      <c r="I213" s="387">
        <f>Standard_D14_Disk*Quantity_Standard_D14</f>
        <v>0</v>
      </c>
      <c r="J213" s="389">
        <f t="shared" si="9"/>
        <v>0</v>
      </c>
      <c r="L213" s="340" t="s">
        <v>244</v>
      </c>
      <c r="M213" s="341">
        <v>16</v>
      </c>
      <c r="N213" s="341">
        <v>112</v>
      </c>
      <c r="O213" s="341">
        <v>800</v>
      </c>
    </row>
    <row r="214" spans="2:15" ht="16.5" thickBot="1" x14ac:dyDescent="0.3">
      <c r="B214" s="331"/>
      <c r="C214" s="643" t="str">
        <f t="shared" si="11"/>
        <v>DS-series</v>
      </c>
      <c r="D214" s="644"/>
      <c r="E214" s="644"/>
      <c r="F214" s="644"/>
      <c r="G214" s="644"/>
      <c r="H214" s="645"/>
      <c r="I214" s="331"/>
      <c r="J214" s="325"/>
      <c r="L214" s="640" t="s">
        <v>206</v>
      </c>
      <c r="M214" s="641"/>
      <c r="N214" s="641"/>
      <c r="O214" s="642"/>
    </row>
    <row r="215" spans="2:15" ht="16.5" thickBot="1" x14ac:dyDescent="0.3">
      <c r="B215" s="387">
        <f>Quantity_Standard_DS11</f>
        <v>0</v>
      </c>
      <c r="C215" s="109" t="str">
        <f t="shared" si="11"/>
        <v>Standard_DS11</v>
      </c>
      <c r="D215" s="388">
        <f>Standard_DS11_Cores*Quantity_Standard_DS11</f>
        <v>0</v>
      </c>
      <c r="E215" s="388">
        <f>Standard_DS11_Memory*Quantity_Standard_DS11</f>
        <v>0</v>
      </c>
      <c r="F215" s="332"/>
      <c r="G215" s="332"/>
      <c r="H215" s="388">
        <f>Standard_DS11_Temp*Quantity_Standard_DS11</f>
        <v>0</v>
      </c>
      <c r="I215" s="387">
        <f>Standard_DS11_Disk*Quantity_Standard_DS11</f>
        <v>0</v>
      </c>
      <c r="J215" s="389">
        <f t="shared" si="9"/>
        <v>0</v>
      </c>
      <c r="L215" s="337" t="s">
        <v>247</v>
      </c>
      <c r="M215" s="338">
        <v>2</v>
      </c>
      <c r="N215" s="338">
        <v>14</v>
      </c>
      <c r="O215" s="338">
        <v>28</v>
      </c>
    </row>
    <row r="216" spans="2:15" ht="16.5" thickBot="1" x14ac:dyDescent="0.3">
      <c r="B216" s="387">
        <f>Quantity_Standard_DS12</f>
        <v>0</v>
      </c>
      <c r="C216" s="109" t="str">
        <f t="shared" si="11"/>
        <v>Standard_DS12</v>
      </c>
      <c r="D216" s="388">
        <f>Standard_DS12_Cores*Quantity_Standard_DS12</f>
        <v>0</v>
      </c>
      <c r="E216" s="388">
        <f>Standard_DS12_Memory*Quantity_Standard_DS12</f>
        <v>0</v>
      </c>
      <c r="F216" s="332"/>
      <c r="G216" s="332"/>
      <c r="H216" s="388">
        <f>Standard_DS12_Temp*Quantity_Standard_DS12</f>
        <v>0</v>
      </c>
      <c r="I216" s="387">
        <f>Standard_DS12_Disk*Quantity_Standard_DS12</f>
        <v>0</v>
      </c>
      <c r="J216" s="389">
        <f t="shared" ref="J216:J254" si="12">IF(E216=0,0,(E216/B216))</f>
        <v>0</v>
      </c>
      <c r="L216" s="337" t="s">
        <v>251</v>
      </c>
      <c r="M216" s="338">
        <v>4</v>
      </c>
      <c r="N216" s="338">
        <v>28</v>
      </c>
      <c r="O216" s="338">
        <v>56</v>
      </c>
    </row>
    <row r="217" spans="2:15" ht="16.5" thickBot="1" x14ac:dyDescent="0.3">
      <c r="B217" s="387">
        <f>Quantity_Standard_DS13</f>
        <v>0</v>
      </c>
      <c r="C217" s="109" t="str">
        <f t="shared" si="11"/>
        <v>Standard_DS13</v>
      </c>
      <c r="D217" s="388">
        <f>Standard_DS13_Cores*Quantity_Standard_DS13</f>
        <v>0</v>
      </c>
      <c r="E217" s="388">
        <f>Standard_DS13_Memory*Quantity_Standard_DS13</f>
        <v>0</v>
      </c>
      <c r="F217" s="332"/>
      <c r="G217" s="332"/>
      <c r="H217" s="388">
        <f>Standard_DS13_Temp*Quantity_Standard_DS13</f>
        <v>0</v>
      </c>
      <c r="I217" s="387">
        <f>Standard_DS13_Disk*Quantity_Standard_DS13</f>
        <v>0</v>
      </c>
      <c r="J217" s="389">
        <f t="shared" si="12"/>
        <v>0</v>
      </c>
      <c r="L217" s="337" t="s">
        <v>253</v>
      </c>
      <c r="M217" s="338">
        <v>8</v>
      </c>
      <c r="N217" s="338">
        <v>56</v>
      </c>
      <c r="O217" s="338">
        <v>112</v>
      </c>
    </row>
    <row r="218" spans="2:15" ht="16.5" thickBot="1" x14ac:dyDescent="0.3">
      <c r="B218" s="387">
        <f>Quantity_Standard_DS14</f>
        <v>0</v>
      </c>
      <c r="C218" s="109" t="str">
        <f t="shared" si="11"/>
        <v>Standard_DS14</v>
      </c>
      <c r="D218" s="388">
        <f>Standard_DS14_Cores*Quantity_Standard_DS14</f>
        <v>0</v>
      </c>
      <c r="E218" s="388">
        <f>Standard_DS14_Memory*Quantity_Standard_DS14</f>
        <v>0</v>
      </c>
      <c r="F218" s="332"/>
      <c r="G218" s="332"/>
      <c r="H218" s="388">
        <f>Standard_DS14_Temp*Quantity_Standard_DS14</f>
        <v>0</v>
      </c>
      <c r="I218" s="387">
        <f>Standard_DS14_Disk*Quantity_Standard_DS14</f>
        <v>0</v>
      </c>
      <c r="J218" s="389">
        <f t="shared" si="12"/>
        <v>0</v>
      </c>
      <c r="L218" s="337" t="s">
        <v>255</v>
      </c>
      <c r="M218" s="338">
        <v>16</v>
      </c>
      <c r="N218" s="338">
        <v>112</v>
      </c>
      <c r="O218" s="338">
        <v>224</v>
      </c>
    </row>
    <row r="219" spans="2:15" ht="16.5" thickBot="1" x14ac:dyDescent="0.3">
      <c r="B219" s="331"/>
      <c r="C219" s="643" t="str">
        <f t="shared" si="11"/>
        <v>Dv2-series</v>
      </c>
      <c r="D219" s="644"/>
      <c r="E219" s="644"/>
      <c r="F219" s="644"/>
      <c r="G219" s="644"/>
      <c r="H219" s="645"/>
      <c r="I219" s="331"/>
      <c r="J219" s="325"/>
      <c r="L219" s="640" t="s">
        <v>212</v>
      </c>
      <c r="M219" s="641"/>
      <c r="N219" s="641"/>
      <c r="O219" s="642"/>
    </row>
    <row r="220" spans="2:15" ht="16.5" thickBot="1" x14ac:dyDescent="0.3">
      <c r="B220" s="387">
        <f>Quantity_Standard_D11_v2</f>
        <v>0</v>
      </c>
      <c r="C220" s="393" t="str">
        <f t="shared" si="11"/>
        <v>Standard_D11_v2</v>
      </c>
      <c r="D220" s="392">
        <f>Standard_D11_v2_Cores*Quantity_Standard_D11_v2</f>
        <v>0</v>
      </c>
      <c r="E220" s="392">
        <f>Standard_D11_v2_Memory*Quantity_Standard_D11_v2</f>
        <v>0</v>
      </c>
      <c r="F220" s="339"/>
      <c r="G220" s="339"/>
      <c r="H220" s="392">
        <f>Standard_D11_v2_Temp*Quantity_Standard_D11_v2</f>
        <v>0</v>
      </c>
      <c r="I220" s="387">
        <f>Standard_D11_v2_Disk*Quantity_Standard_D11_v2</f>
        <v>0</v>
      </c>
      <c r="J220" s="389">
        <f t="shared" si="12"/>
        <v>0</v>
      </c>
      <c r="L220" s="333" t="s">
        <v>259</v>
      </c>
      <c r="M220" s="334">
        <v>2</v>
      </c>
      <c r="N220" s="334">
        <v>14</v>
      </c>
      <c r="O220" s="334">
        <v>100</v>
      </c>
    </row>
    <row r="221" spans="2:15" ht="16.5" thickBot="1" x14ac:dyDescent="0.3">
      <c r="B221" s="387">
        <f>Quantity_Standard_D12_v2</f>
        <v>0</v>
      </c>
      <c r="C221" s="393" t="str">
        <f t="shared" si="11"/>
        <v>Standard_D12_v2</v>
      </c>
      <c r="D221" s="392">
        <f>Standard_D12_v2_Cores*Quantity_Standard_D12_v2</f>
        <v>0</v>
      </c>
      <c r="E221" s="392">
        <f>Standard_D12_v2_Memory*Quantity_Standard_D12_v2</f>
        <v>0</v>
      </c>
      <c r="F221" s="339"/>
      <c r="G221" s="339"/>
      <c r="H221" s="392">
        <f>Standard_D12_v2_Temp*Quantity_Standard_D12_v2</f>
        <v>0</v>
      </c>
      <c r="I221" s="387">
        <f>Standard_D12_v2_Disk*Quantity_Standard_D12_v2</f>
        <v>0</v>
      </c>
      <c r="J221" s="389">
        <f t="shared" si="12"/>
        <v>0</v>
      </c>
      <c r="L221" s="333" t="s">
        <v>260</v>
      </c>
      <c r="M221" s="334">
        <v>4</v>
      </c>
      <c r="N221" s="334">
        <v>28</v>
      </c>
      <c r="O221" s="334">
        <v>200</v>
      </c>
    </row>
    <row r="222" spans="2:15" ht="16.5" thickBot="1" x14ac:dyDescent="0.3">
      <c r="B222" s="387">
        <f>Quantity_Standard_D13_v2</f>
        <v>0</v>
      </c>
      <c r="C222" s="393" t="str">
        <f t="shared" si="11"/>
        <v>Standard_D13_v2</v>
      </c>
      <c r="D222" s="392">
        <f>Standard_D13_v2_Cores*Quantity_Standard_D13_v2</f>
        <v>0</v>
      </c>
      <c r="E222" s="392">
        <f>Standard_D13_v2_Memory*Quantity_Standard_D13_v2</f>
        <v>0</v>
      </c>
      <c r="F222" s="339"/>
      <c r="G222" s="339"/>
      <c r="H222" s="392">
        <f>Standard_D13_v2_Temp*Quantity_Standard_D13_v2</f>
        <v>0</v>
      </c>
      <c r="I222" s="387">
        <f>Standard_D13_v2_Disk*Quantity_Standard_D13_v2</f>
        <v>0</v>
      </c>
      <c r="J222" s="389">
        <f t="shared" si="12"/>
        <v>0</v>
      </c>
      <c r="L222" s="333" t="s">
        <v>261</v>
      </c>
      <c r="M222" s="334">
        <v>8</v>
      </c>
      <c r="N222" s="334">
        <v>56</v>
      </c>
      <c r="O222" s="334">
        <v>400</v>
      </c>
    </row>
    <row r="223" spans="2:15" ht="16.5" thickBot="1" x14ac:dyDescent="0.3">
      <c r="B223" s="387">
        <f>Quantity_Standard_D14_v2</f>
        <v>0</v>
      </c>
      <c r="C223" s="393" t="str">
        <f t="shared" si="11"/>
        <v>Standard_D14_v2</v>
      </c>
      <c r="D223" s="392">
        <f>Standard_D14_v2_Cores*Quantity_Standard_D14_v2</f>
        <v>0</v>
      </c>
      <c r="E223" s="392">
        <f>Standard_D14_v2_Memory*Quantity_Standard_D14_v2</f>
        <v>0</v>
      </c>
      <c r="F223" s="339"/>
      <c r="G223" s="339"/>
      <c r="H223" s="392">
        <f>Standard_D14_v2_Temp*Quantity_Standard_D14_v2</f>
        <v>0</v>
      </c>
      <c r="I223" s="387">
        <f>Standard_D14_v2_Disk*Quantity_Standard_D14_v2</f>
        <v>0</v>
      </c>
      <c r="J223" s="389">
        <f t="shared" si="12"/>
        <v>0</v>
      </c>
      <c r="L223" s="333" t="s">
        <v>262</v>
      </c>
      <c r="M223" s="334">
        <v>16</v>
      </c>
      <c r="N223" s="334">
        <v>112</v>
      </c>
      <c r="O223" s="334">
        <v>800</v>
      </c>
    </row>
    <row r="224" spans="2:15" ht="16.5" thickBot="1" x14ac:dyDescent="0.3">
      <c r="B224" s="331"/>
      <c r="C224" s="643" t="str">
        <f t="shared" si="11"/>
        <v>DSv2-series</v>
      </c>
      <c r="D224" s="644"/>
      <c r="E224" s="644"/>
      <c r="F224" s="644"/>
      <c r="G224" s="644"/>
      <c r="H224" s="645"/>
      <c r="I224" s="331"/>
      <c r="J224" s="325"/>
      <c r="L224" s="639" t="s">
        <v>218</v>
      </c>
      <c r="M224" s="639"/>
      <c r="N224" s="639"/>
      <c r="O224" s="639"/>
    </row>
    <row r="225" spans="1:15" ht="16.5" thickBot="1" x14ac:dyDescent="0.3">
      <c r="B225" s="387">
        <f>Quantity_Standard_DS11_v2</f>
        <v>0</v>
      </c>
      <c r="C225" s="394" t="str">
        <f t="shared" si="11"/>
        <v>Standard_DS11_v2</v>
      </c>
      <c r="D225" s="395">
        <f>Standard_DS11_v2_Cores*Quantity_Standard_DS11_v2</f>
        <v>0</v>
      </c>
      <c r="E225" s="395">
        <f>Standard_DS11_v2_Memory*Quantity_Standard_DS11_v2</f>
        <v>0</v>
      </c>
      <c r="F225" s="345"/>
      <c r="G225" s="345"/>
      <c r="H225" s="395">
        <f>Standard_DS11_v2_Temp*Quantity_Standard_DS11_v2</f>
        <v>0</v>
      </c>
      <c r="I225" s="387">
        <f>Standard_DS11_v2_Disk*Quantity_Standard_DS11_v2</f>
        <v>0</v>
      </c>
      <c r="J225" s="389">
        <f t="shared" si="12"/>
        <v>0</v>
      </c>
      <c r="L225" s="337" t="s">
        <v>263</v>
      </c>
      <c r="M225" s="338">
        <v>2</v>
      </c>
      <c r="N225" s="338">
        <v>14</v>
      </c>
      <c r="O225" s="338">
        <v>28</v>
      </c>
    </row>
    <row r="226" spans="1:15" ht="16.5" thickBot="1" x14ac:dyDescent="0.3">
      <c r="B226" s="387">
        <f>Quantity_Standard_DS12_v2</f>
        <v>0</v>
      </c>
      <c r="C226" s="394" t="str">
        <f t="shared" si="11"/>
        <v>Standard_DS12_v2</v>
      </c>
      <c r="D226" s="395">
        <f>Standard_DS12_v2_Cores*Quantity_Standard_DS12_v2</f>
        <v>0</v>
      </c>
      <c r="E226" s="395">
        <f>Standard_DS12_v2_Memory*Quantity_Standard_DS12_v2</f>
        <v>0</v>
      </c>
      <c r="F226" s="345"/>
      <c r="G226" s="345"/>
      <c r="H226" s="395">
        <f>Standard_DS12_v2_Temp*Quantity_Standard_DS12_v2</f>
        <v>0</v>
      </c>
      <c r="I226" s="387">
        <f>Standard_DS12_v2_Disk*Quantity_Standard_DS12_v2</f>
        <v>0</v>
      </c>
      <c r="J226" s="389">
        <f t="shared" si="12"/>
        <v>0</v>
      </c>
      <c r="L226" s="337" t="s">
        <v>264</v>
      </c>
      <c r="M226" s="338">
        <v>4</v>
      </c>
      <c r="N226" s="338">
        <v>28</v>
      </c>
      <c r="O226" s="338">
        <v>56</v>
      </c>
    </row>
    <row r="227" spans="1:15" ht="16.5" thickBot="1" x14ac:dyDescent="0.3">
      <c r="B227" s="387">
        <f>Quantity_Standard_DS13_v2</f>
        <v>0</v>
      </c>
      <c r="C227" s="394" t="str">
        <f t="shared" si="11"/>
        <v>Standard_DS13_v2</v>
      </c>
      <c r="D227" s="395">
        <f>Standard_DS13_v2_Cores*Quantity_Standard_DS13_v2</f>
        <v>0</v>
      </c>
      <c r="E227" s="395">
        <f>Standard_DS13_v2_Memory*Quantity_Standard_DS13_v2</f>
        <v>0</v>
      </c>
      <c r="F227" s="345"/>
      <c r="G227" s="345"/>
      <c r="H227" s="395">
        <f>Standard_DS13_v2_Temp*Quantity_Standard_DS13_v2</f>
        <v>0</v>
      </c>
      <c r="I227" s="387">
        <f>Standard_DS13_v2_Disk*Quantity_Standard_DS13_v2</f>
        <v>0</v>
      </c>
      <c r="J227" s="389">
        <f t="shared" si="12"/>
        <v>0</v>
      </c>
      <c r="L227" s="337" t="s">
        <v>265</v>
      </c>
      <c r="M227" s="338">
        <v>8</v>
      </c>
      <c r="N227" s="338">
        <v>56</v>
      </c>
      <c r="O227" s="338">
        <v>112</v>
      </c>
    </row>
    <row r="228" spans="1:15" ht="16.5" thickBot="1" x14ac:dyDescent="0.3">
      <c r="B228" s="387">
        <f>Quantity_Standard_DS14_v2</f>
        <v>0</v>
      </c>
      <c r="C228" s="394" t="str">
        <f t="shared" si="11"/>
        <v>Standard_DS14_v2</v>
      </c>
      <c r="D228" s="395">
        <f>Standard_DS14_v2_Cores*Quantity_Standard_DS14_v2</f>
        <v>0</v>
      </c>
      <c r="E228" s="395">
        <f>Standard_DS14_v2_Memory*Quantity_Standard_DS14_v2</f>
        <v>0</v>
      </c>
      <c r="F228" s="345"/>
      <c r="G228" s="345"/>
      <c r="H228" s="395">
        <f>Standard_DS14_v2_Temp*Quantity_Standard_DS14_v2</f>
        <v>0</v>
      </c>
      <c r="I228" s="387">
        <f>Standard_DS14_v2_Disk*Quantity_Standard_DS14_v2</f>
        <v>0</v>
      </c>
      <c r="J228" s="389">
        <f t="shared" si="12"/>
        <v>0</v>
      </c>
      <c r="L228" s="337" t="s">
        <v>266</v>
      </c>
      <c r="M228" s="338">
        <v>16</v>
      </c>
      <c r="N228" s="338">
        <v>112</v>
      </c>
      <c r="O228" s="338">
        <v>224</v>
      </c>
    </row>
    <row r="229" spans="1:15" ht="16.5" thickBot="1" x14ac:dyDescent="0.3">
      <c r="B229" s="331"/>
      <c r="C229" s="643" t="str">
        <f t="shared" si="11"/>
        <v>Ev3-Series</v>
      </c>
      <c r="D229" s="644"/>
      <c r="E229" s="644"/>
      <c r="F229" s="644"/>
      <c r="G229" s="644"/>
      <c r="H229" s="645"/>
      <c r="I229" s="331"/>
      <c r="J229" s="325"/>
      <c r="L229" s="626" t="s">
        <v>267</v>
      </c>
      <c r="M229" s="627"/>
      <c r="N229" s="627"/>
      <c r="O229" s="628"/>
    </row>
    <row r="230" spans="1:15" ht="16.5" thickBot="1" x14ac:dyDescent="0.3">
      <c r="B230" s="387">
        <f>Quantity_Standard_E2_v3</f>
        <v>0</v>
      </c>
      <c r="C230" s="271" t="s">
        <v>268</v>
      </c>
      <c r="D230" s="388">
        <f>Standard_E2_v3_Cores*Quantity_Standard_E2_v3</f>
        <v>0</v>
      </c>
      <c r="E230" s="388">
        <f>Standard_E2_v3_Memory*Quantity_Standard_E2_v3</f>
        <v>0</v>
      </c>
      <c r="F230" s="332"/>
      <c r="G230" s="332"/>
      <c r="H230" s="388">
        <f>Standard_E2_v3_Temp*Quantity_Standard_E2_v3</f>
        <v>0</v>
      </c>
      <c r="I230" s="387">
        <f>Standard_E2_v3_Disk*Quantity_Standard_E2_v3</f>
        <v>0</v>
      </c>
      <c r="J230" s="389">
        <f t="shared" si="12"/>
        <v>0</v>
      </c>
      <c r="L230" s="340" t="s">
        <v>268</v>
      </c>
      <c r="M230" s="341">
        <v>2</v>
      </c>
      <c r="N230" s="341">
        <v>16</v>
      </c>
      <c r="O230" s="341">
        <v>50</v>
      </c>
    </row>
    <row r="231" spans="1:15" ht="16.5" thickBot="1" x14ac:dyDescent="0.3">
      <c r="B231" s="387">
        <f>Quantity_Standard_E4_v3</f>
        <v>0</v>
      </c>
      <c r="C231" s="271" t="s">
        <v>269</v>
      </c>
      <c r="D231" s="388">
        <f>Standard_E4_v3_Cores*Quantity_Standard_E4_v3</f>
        <v>0</v>
      </c>
      <c r="E231" s="388">
        <f>Standard_E4_v3_Memory*Quantity_Standard_E4_v3</f>
        <v>0</v>
      </c>
      <c r="F231" s="332"/>
      <c r="G231" s="332"/>
      <c r="H231" s="388">
        <f>Standard_E4_v3_Temp*Quantity_Standard_E4_v3</f>
        <v>0</v>
      </c>
      <c r="I231" s="387">
        <f>Standard_E4_v3_Disk*Quantity_Standard_E4_v3</f>
        <v>0</v>
      </c>
      <c r="J231" s="389">
        <f t="shared" si="12"/>
        <v>0</v>
      </c>
      <c r="L231" s="340" t="s">
        <v>269</v>
      </c>
      <c r="M231" s="341">
        <v>4</v>
      </c>
      <c r="N231" s="341">
        <v>32</v>
      </c>
      <c r="O231" s="341">
        <v>100</v>
      </c>
    </row>
    <row r="232" spans="1:15" ht="16.5" thickBot="1" x14ac:dyDescent="0.3">
      <c r="B232" s="387">
        <f>Quantity_Standard_E8_v3</f>
        <v>0</v>
      </c>
      <c r="C232" s="271" t="s">
        <v>270</v>
      </c>
      <c r="D232" s="388">
        <f>Standard_E8_v3_Cores*Quantity_Standard_E8_v3</f>
        <v>0</v>
      </c>
      <c r="E232" s="388">
        <f>Standard_E8_v3_Memory*Quantity_Standard_E8_v3</f>
        <v>0</v>
      </c>
      <c r="F232" s="332"/>
      <c r="G232" s="332"/>
      <c r="H232" s="388">
        <f>Standard_E8_v3_Temp*Quantity_Standard_E8_v3</f>
        <v>0</v>
      </c>
      <c r="I232" s="387">
        <f>Standard_E8_v3_Disk*Quantity_Standard_E8_v3</f>
        <v>0</v>
      </c>
      <c r="J232" s="389">
        <f t="shared" si="12"/>
        <v>0</v>
      </c>
      <c r="L232" s="340" t="s">
        <v>270</v>
      </c>
      <c r="M232" s="341">
        <v>8</v>
      </c>
      <c r="N232" s="341">
        <v>64</v>
      </c>
      <c r="O232" s="341">
        <v>200</v>
      </c>
    </row>
    <row r="233" spans="1:15" ht="16.5" thickBot="1" x14ac:dyDescent="0.3">
      <c r="B233" s="387">
        <f>Quantity_Standard_E16_v3</f>
        <v>0</v>
      </c>
      <c r="C233" s="271" t="s">
        <v>271</v>
      </c>
      <c r="D233" s="388">
        <f>Standard_E16_v3_Cores*Quantity_Standard_E16_v3</f>
        <v>0</v>
      </c>
      <c r="E233" s="388">
        <f>Standard_E16_v3_Memory*Quantity_Standard_E16_v3</f>
        <v>0</v>
      </c>
      <c r="F233" s="332"/>
      <c r="G233" s="332"/>
      <c r="H233" s="388">
        <f>Standard_E16_v3_Temp*Quantity_Standard_E16_v3</f>
        <v>0</v>
      </c>
      <c r="I233" s="387">
        <f>Standard_E16_v3_Disk*Quantity_Standard_E16_v3</f>
        <v>0</v>
      </c>
      <c r="J233" s="389">
        <f t="shared" ref="J233" si="13">IF(E233=0,0,(E233/B233))</f>
        <v>0</v>
      </c>
      <c r="L233" s="340" t="s">
        <v>271</v>
      </c>
      <c r="M233" s="341">
        <v>16</v>
      </c>
      <c r="N233" s="341">
        <v>128</v>
      </c>
      <c r="O233" s="341">
        <v>400</v>
      </c>
    </row>
    <row r="234" spans="1:15" ht="16.5" thickBot="1" x14ac:dyDescent="0.3">
      <c r="B234" s="387">
        <f>Quantity_Standard_E20_v3</f>
        <v>0</v>
      </c>
      <c r="C234" s="271" t="s">
        <v>272</v>
      </c>
      <c r="D234" s="388">
        <f>Standard_E20_v3_Cores*Quantity_Standard_E20_v3</f>
        <v>0</v>
      </c>
      <c r="E234" s="388">
        <f>Standard_E20_v3_Memory*Quantity_Standard_E20_v3</f>
        <v>0</v>
      </c>
      <c r="F234" s="332"/>
      <c r="G234" s="332"/>
      <c r="H234" s="388">
        <f>Standard_E20_v3_Temp*Quantity_Standard_E20_v3</f>
        <v>0</v>
      </c>
      <c r="I234" s="387">
        <f>Standard_E20_v3_Disk*Quantity_Standard_E20_v3</f>
        <v>0</v>
      </c>
      <c r="J234" s="389">
        <f t="shared" si="12"/>
        <v>0</v>
      </c>
      <c r="L234" s="340" t="s">
        <v>272</v>
      </c>
      <c r="M234" s="341">
        <v>20</v>
      </c>
      <c r="N234" s="341">
        <v>160</v>
      </c>
      <c r="O234" s="341">
        <v>500</v>
      </c>
    </row>
    <row r="235" spans="1:15" ht="16.5" thickBot="1" x14ac:dyDescent="0.3">
      <c r="A235" s="346"/>
      <c r="B235" s="347"/>
      <c r="C235" s="658" t="s">
        <v>326</v>
      </c>
      <c r="D235" s="653"/>
      <c r="E235" s="653"/>
      <c r="F235" s="653"/>
      <c r="G235" s="653"/>
      <c r="H235" s="653"/>
      <c r="I235" s="343"/>
      <c r="J235" s="325"/>
      <c r="L235" s="631"/>
      <c r="M235" s="632"/>
      <c r="N235" s="632"/>
      <c r="O235" s="633"/>
    </row>
    <row r="236" spans="1:15" ht="16.5" thickBot="1" x14ac:dyDescent="0.3">
      <c r="A236" s="346"/>
      <c r="B236" s="331"/>
      <c r="C236" s="643" t="str">
        <f t="shared" ref="C236:C254" si="14">C93</f>
        <v>F-series</v>
      </c>
      <c r="D236" s="644"/>
      <c r="E236" s="644"/>
      <c r="F236" s="644"/>
      <c r="G236" s="644"/>
      <c r="H236" s="645"/>
      <c r="I236" s="331"/>
      <c r="J236" s="389">
        <f t="shared" si="12"/>
        <v>0</v>
      </c>
      <c r="L236" s="639" t="s">
        <v>274</v>
      </c>
      <c r="M236" s="639"/>
      <c r="N236" s="639"/>
      <c r="O236" s="639"/>
    </row>
    <row r="237" spans="1:15" ht="16.5" thickBot="1" x14ac:dyDescent="0.3">
      <c r="A237" s="346"/>
      <c r="B237" s="387">
        <f>Quantity_Standard_F1</f>
        <v>0</v>
      </c>
      <c r="C237" s="396" t="str">
        <f t="shared" si="14"/>
        <v>Standard_F1 </v>
      </c>
      <c r="D237" s="390">
        <f>Standard_F1_cores*Quantity_Standard_F1</f>
        <v>0</v>
      </c>
      <c r="E237" s="390">
        <f>Standard_F1_Memory*Quantity_Standard_F1</f>
        <v>0</v>
      </c>
      <c r="F237" s="336"/>
      <c r="G237" s="336"/>
      <c r="H237" s="390">
        <f>Standard_F1_Temp*Quantity_Standard_F1</f>
        <v>0</v>
      </c>
      <c r="I237" s="387">
        <f>Standard_F1_Disk*Quantity_Standard_F1</f>
        <v>0</v>
      </c>
      <c r="J237" s="389">
        <f t="shared" si="12"/>
        <v>0</v>
      </c>
      <c r="L237" s="333" t="s">
        <v>275</v>
      </c>
      <c r="M237" s="334">
        <v>1</v>
      </c>
      <c r="N237" s="334">
        <v>2</v>
      </c>
      <c r="O237" s="334">
        <v>16</v>
      </c>
    </row>
    <row r="238" spans="1:15" ht="16.5" thickBot="1" x14ac:dyDescent="0.3">
      <c r="A238" s="346"/>
      <c r="B238" s="387">
        <f>Quantity_Standard_F2</f>
        <v>0</v>
      </c>
      <c r="C238" s="396" t="str">
        <f t="shared" si="14"/>
        <v>Standard_F2 </v>
      </c>
      <c r="D238" s="390">
        <f>Standard_F2_cores*Quantity_Standard_F2</f>
        <v>0</v>
      </c>
      <c r="E238" s="390">
        <f>Standard_F2_Memory*Quantity_Standard_F2</f>
        <v>0</v>
      </c>
      <c r="F238" s="336"/>
      <c r="G238" s="336"/>
      <c r="H238" s="390">
        <f>Standard_F2_Temp*Quantity_Standard_F2</f>
        <v>0</v>
      </c>
      <c r="I238" s="387">
        <f>Standard_F2_Disk*Quantity_Standard_F2</f>
        <v>0</v>
      </c>
      <c r="J238" s="389">
        <f t="shared" si="12"/>
        <v>0</v>
      </c>
      <c r="L238" s="333" t="s">
        <v>276</v>
      </c>
      <c r="M238" s="334">
        <v>2</v>
      </c>
      <c r="N238" s="334">
        <v>4</v>
      </c>
      <c r="O238" s="334">
        <v>32</v>
      </c>
    </row>
    <row r="239" spans="1:15" ht="16.5" thickBot="1" x14ac:dyDescent="0.3">
      <c r="B239" s="387">
        <f>Quantity_Standard_F4</f>
        <v>0</v>
      </c>
      <c r="C239" s="396" t="str">
        <f t="shared" si="14"/>
        <v>Standard_F4 </v>
      </c>
      <c r="D239" s="390">
        <f>Standard_F4_Cores*Quantity_Standard_F4</f>
        <v>0</v>
      </c>
      <c r="E239" s="390">
        <f>Standard_F4_Memory*Quantity_Standard_F4</f>
        <v>0</v>
      </c>
      <c r="F239" s="336"/>
      <c r="G239" s="336"/>
      <c r="H239" s="390">
        <f>Standard_F4_Temp*Quantity_Standard_F4</f>
        <v>0</v>
      </c>
      <c r="I239" s="387">
        <f>Standard_F4_Disk*Quantity_Standard_F4</f>
        <v>0</v>
      </c>
      <c r="J239" s="389">
        <f t="shared" si="12"/>
        <v>0</v>
      </c>
      <c r="L239" s="333" t="s">
        <v>277</v>
      </c>
      <c r="M239" s="334">
        <v>4</v>
      </c>
      <c r="N239" s="334">
        <v>8</v>
      </c>
      <c r="O239" s="334">
        <v>64</v>
      </c>
    </row>
    <row r="240" spans="1:15" ht="16.5" thickBot="1" x14ac:dyDescent="0.3">
      <c r="B240" s="387">
        <f>Quantity_Standard_F8</f>
        <v>0</v>
      </c>
      <c r="C240" s="396" t="str">
        <f t="shared" si="14"/>
        <v>Standard_F8 </v>
      </c>
      <c r="D240" s="390">
        <f>Standard_F8_cores*Quantity_Standard_F8</f>
        <v>0</v>
      </c>
      <c r="E240" s="390">
        <f>Standard_F8_Memory*Quantity_Standard_F8</f>
        <v>0</v>
      </c>
      <c r="F240" s="336"/>
      <c r="G240" s="336"/>
      <c r="H240" s="390">
        <f>Standard_F8_Temp*Quantity_Standard_F8</f>
        <v>0</v>
      </c>
      <c r="I240" s="387">
        <f>Standard_F8_Disk*Quantity_Standard_F8</f>
        <v>0</v>
      </c>
      <c r="J240" s="389">
        <f t="shared" si="12"/>
        <v>0</v>
      </c>
      <c r="L240" s="333" t="s">
        <v>278</v>
      </c>
      <c r="M240" s="334">
        <v>8</v>
      </c>
      <c r="N240" s="334">
        <v>16</v>
      </c>
      <c r="O240" s="334">
        <v>128</v>
      </c>
    </row>
    <row r="241" spans="1:23" ht="16.5" thickBot="1" x14ac:dyDescent="0.3">
      <c r="B241" s="387">
        <f>Quantity_Standard_F16</f>
        <v>0</v>
      </c>
      <c r="C241" s="396" t="str">
        <f t="shared" si="14"/>
        <v>Standard_F16 </v>
      </c>
      <c r="D241" s="390">
        <f>Standard_F16_cores*Quantity_Standard_F16</f>
        <v>0</v>
      </c>
      <c r="E241" s="390">
        <f>Standard_F16_Memory*Quantity_Standard_F16</f>
        <v>0</v>
      </c>
      <c r="F241" s="336"/>
      <c r="G241" s="336"/>
      <c r="H241" s="390">
        <f>Standard_F16_Temp*Quantity_Standard_F16</f>
        <v>0</v>
      </c>
      <c r="I241" s="387">
        <f>Standard_F16_Disk*Quantity_Standard_F16</f>
        <v>0</v>
      </c>
      <c r="J241" s="389">
        <f t="shared" si="12"/>
        <v>0</v>
      </c>
      <c r="L241" s="333" t="s">
        <v>279</v>
      </c>
      <c r="M241" s="334">
        <v>16</v>
      </c>
      <c r="N241" s="334">
        <v>32</v>
      </c>
      <c r="O241" s="334">
        <v>256</v>
      </c>
    </row>
    <row r="242" spans="1:23" ht="16.5" thickBot="1" x14ac:dyDescent="0.3">
      <c r="B242" s="331"/>
      <c r="C242" s="643" t="str">
        <f t="shared" si="14"/>
        <v>Fs-series</v>
      </c>
      <c r="D242" s="644"/>
      <c r="E242" s="644"/>
      <c r="F242" s="644"/>
      <c r="G242" s="644"/>
      <c r="H242" s="645"/>
      <c r="I242" s="331"/>
      <c r="J242" s="325"/>
      <c r="L242" s="640" t="s">
        <v>280</v>
      </c>
      <c r="M242" s="641"/>
      <c r="N242" s="641"/>
      <c r="O242" s="642"/>
    </row>
    <row r="243" spans="1:23" ht="16.5" thickBot="1" x14ac:dyDescent="0.3">
      <c r="B243" s="387">
        <f>Quantity_Standard_F1s</f>
        <v>0</v>
      </c>
      <c r="C243" s="393" t="str">
        <f t="shared" si="14"/>
        <v>Standard_F1s </v>
      </c>
      <c r="D243" s="392">
        <f>Standard_F1s_cores*Quantity_Standard_F1s</f>
        <v>0</v>
      </c>
      <c r="E243" s="392">
        <f>Standard_F1s_Memory*Quantity_Standard_F1s</f>
        <v>0</v>
      </c>
      <c r="F243" s="339"/>
      <c r="G243" s="339"/>
      <c r="H243" s="392">
        <f>Standard_F1s_Temp*Quantity_Standard_F1s</f>
        <v>0</v>
      </c>
      <c r="I243" s="387">
        <f>Standard_F1s_Disk*Quantity_Standard_F1s</f>
        <v>0</v>
      </c>
      <c r="J243" s="389">
        <f t="shared" si="12"/>
        <v>0</v>
      </c>
      <c r="L243" s="337" t="s">
        <v>281</v>
      </c>
      <c r="M243" s="338">
        <v>1</v>
      </c>
      <c r="N243" s="338">
        <v>2</v>
      </c>
      <c r="O243" s="338">
        <v>4</v>
      </c>
    </row>
    <row r="244" spans="1:23" ht="16.5" thickBot="1" x14ac:dyDescent="0.3">
      <c r="B244" s="387">
        <f>Quantity_Standard_F2s</f>
        <v>0</v>
      </c>
      <c r="C244" s="393" t="str">
        <f t="shared" si="14"/>
        <v>Standard_F2s </v>
      </c>
      <c r="D244" s="392">
        <f>Standard_F2s_cores*Quantity_Standard_F2s</f>
        <v>0</v>
      </c>
      <c r="E244" s="392">
        <f>Standard_F2s_Memory*Quantity_Standard_F2s</f>
        <v>0</v>
      </c>
      <c r="F244" s="339"/>
      <c r="G244" s="339"/>
      <c r="H244" s="392">
        <f>Standard_F2s_Temp*Quantity_Standard_F2s</f>
        <v>0</v>
      </c>
      <c r="I244" s="387">
        <f>Standard_F2s_Disk*Quantity_Standard_F2s</f>
        <v>0</v>
      </c>
      <c r="J244" s="389">
        <f t="shared" si="12"/>
        <v>0</v>
      </c>
      <c r="L244" s="337" t="s">
        <v>282</v>
      </c>
      <c r="M244" s="338">
        <v>2</v>
      </c>
      <c r="N244" s="338">
        <v>4</v>
      </c>
      <c r="O244" s="338">
        <v>8</v>
      </c>
    </row>
    <row r="245" spans="1:23" ht="16.5" thickBot="1" x14ac:dyDescent="0.3">
      <c r="B245" s="387">
        <f>Quantity_Standard_F4s</f>
        <v>0</v>
      </c>
      <c r="C245" s="393" t="str">
        <f t="shared" si="14"/>
        <v>Standard_F4s </v>
      </c>
      <c r="D245" s="392">
        <f>Standard_F4s_Cores*Quantity_Standard_F4s</f>
        <v>0</v>
      </c>
      <c r="E245" s="392">
        <f>Standard_F4s_Memory*Quantity_Standard_F4s</f>
        <v>0</v>
      </c>
      <c r="F245" s="339"/>
      <c r="G245" s="339"/>
      <c r="H245" s="392">
        <f>Standard_F4s_Temp*Quantity_Standard_F4s</f>
        <v>0</v>
      </c>
      <c r="I245" s="387">
        <f>Standard_F4s_Disk*Quantity_Standard_F4s</f>
        <v>0</v>
      </c>
      <c r="J245" s="389">
        <f t="shared" si="12"/>
        <v>0</v>
      </c>
      <c r="L245" s="337" t="s">
        <v>283</v>
      </c>
      <c r="M245" s="338">
        <v>4</v>
      </c>
      <c r="N245" s="338">
        <v>8</v>
      </c>
      <c r="O245" s="338">
        <v>16</v>
      </c>
    </row>
    <row r="246" spans="1:23" ht="16.5" thickBot="1" x14ac:dyDescent="0.3">
      <c r="A246" s="346"/>
      <c r="B246" s="387">
        <f>Quantity_Standard_F8s</f>
        <v>0</v>
      </c>
      <c r="C246" s="393" t="str">
        <f t="shared" si="14"/>
        <v>Standard_F8s </v>
      </c>
      <c r="D246" s="392">
        <f>Standard_F8s_cores*Quantity_Standard_F8s</f>
        <v>0</v>
      </c>
      <c r="E246" s="392">
        <f>Standard_F8s_Memory*Quantity_Standard_F8s</f>
        <v>0</v>
      </c>
      <c r="F246" s="339"/>
      <c r="G246" s="339"/>
      <c r="H246" s="392">
        <f>Standard_F8s_Temp*Quantity_Standard_F8s</f>
        <v>0</v>
      </c>
      <c r="I246" s="387">
        <f>Standard_F8s_Disk*Quantity_Standard_F8s</f>
        <v>0</v>
      </c>
      <c r="J246" s="389">
        <f t="shared" si="12"/>
        <v>0</v>
      </c>
      <c r="L246" s="337" t="s">
        <v>284</v>
      </c>
      <c r="M246" s="338">
        <v>8</v>
      </c>
      <c r="N246" s="338">
        <v>16</v>
      </c>
      <c r="O246" s="338">
        <v>32</v>
      </c>
    </row>
    <row r="247" spans="1:23" ht="16.5" thickBot="1" x14ac:dyDescent="0.3">
      <c r="A247" s="346"/>
      <c r="B247" s="387">
        <f>Quantity_Standard_F16s</f>
        <v>0</v>
      </c>
      <c r="C247" s="393" t="str">
        <f t="shared" si="14"/>
        <v>Standard_F16s </v>
      </c>
      <c r="D247" s="392">
        <f>Standard_F16s_cores*Quantity_Standard_F16s</f>
        <v>0</v>
      </c>
      <c r="E247" s="392">
        <f>Standard_F16s_Memory*Quantity_Standard_F16s</f>
        <v>0</v>
      </c>
      <c r="F247" s="339"/>
      <c r="G247" s="339"/>
      <c r="H247" s="392">
        <f>Standard_F16s_Temp*Quantity_Standard_F16s</f>
        <v>0</v>
      </c>
      <c r="I247" s="387">
        <f>Standard_F16s_Disk*Quantity_Standard_F16s</f>
        <v>0</v>
      </c>
      <c r="J247" s="389">
        <f t="shared" si="12"/>
        <v>0</v>
      </c>
      <c r="L247" s="337" t="s">
        <v>285</v>
      </c>
      <c r="M247" s="338">
        <v>16</v>
      </c>
      <c r="N247" s="338">
        <v>32</v>
      </c>
      <c r="O247" s="338">
        <v>64</v>
      </c>
    </row>
    <row r="248" spans="1:23" ht="16.5" thickBot="1" x14ac:dyDescent="0.3">
      <c r="A248" s="346"/>
      <c r="B248" s="331"/>
      <c r="C248" s="643" t="str">
        <f t="shared" si="14"/>
        <v>Fsv2-series</v>
      </c>
      <c r="D248" s="644"/>
      <c r="E248" s="644"/>
      <c r="F248" s="644"/>
      <c r="G248" s="644"/>
      <c r="H248" s="645"/>
      <c r="I248" s="331"/>
      <c r="J248" s="325"/>
      <c r="L248" s="640" t="s">
        <v>286</v>
      </c>
      <c r="M248" s="641"/>
      <c r="N248" s="641"/>
      <c r="O248" s="642"/>
      <c r="U248" s="349"/>
      <c r="V248" s="349"/>
      <c r="W248" s="349"/>
    </row>
    <row r="249" spans="1:23" ht="16.5" thickBot="1" x14ac:dyDescent="0.3">
      <c r="A249" s="346"/>
      <c r="B249" s="387">
        <f>Quantity_Standard_F2s_v2</f>
        <v>0</v>
      </c>
      <c r="C249" s="394" t="str">
        <f t="shared" si="14"/>
        <v>Standard_F2s_v2 </v>
      </c>
      <c r="D249" s="395">
        <f>Standard_F2s_v2_Cores*Quantity_Standard_F2s_v2</f>
        <v>0</v>
      </c>
      <c r="E249" s="395">
        <f>Standard_F2s_v2_Memory*Quantity_Standard_F2s_v2</f>
        <v>0</v>
      </c>
      <c r="F249" s="345"/>
      <c r="G249" s="345"/>
      <c r="H249" s="395">
        <f>Standard_F2s_v2_Temp*Quantity_Standard_F2s_v2</f>
        <v>0</v>
      </c>
      <c r="I249" s="387">
        <f>Standard_F2s_v2_Disk*Quantity_Standard_F2s_v2</f>
        <v>0</v>
      </c>
      <c r="J249" s="389">
        <f t="shared" si="12"/>
        <v>0</v>
      </c>
      <c r="L249" s="340" t="s">
        <v>287</v>
      </c>
      <c r="M249" s="341">
        <v>2</v>
      </c>
      <c r="N249" s="341">
        <v>4</v>
      </c>
      <c r="O249" s="341">
        <v>16</v>
      </c>
      <c r="U249" s="349"/>
      <c r="V249" s="349"/>
      <c r="W249" s="349"/>
    </row>
    <row r="250" spans="1:23" ht="16.5" thickBot="1" x14ac:dyDescent="0.3">
      <c r="B250" s="387">
        <f>Quantity_Standard_F4s_v2</f>
        <v>0</v>
      </c>
      <c r="C250" s="394" t="str">
        <f t="shared" si="14"/>
        <v>Standard_F4s_v2 </v>
      </c>
      <c r="D250" s="395">
        <f>Standard_F4s_v2_Cores*Quantity_Standard_F4s_v2</f>
        <v>0</v>
      </c>
      <c r="E250" s="395">
        <f>Standard_F4s_v2_Memory*Quantity_Standard_F4s_v2</f>
        <v>0</v>
      </c>
      <c r="F250" s="345"/>
      <c r="G250" s="345"/>
      <c r="H250" s="395">
        <f>Standard_F4s_v2_Temp*Quantity_Standard_F4s_v2</f>
        <v>0</v>
      </c>
      <c r="I250" s="387">
        <f>Standard_F4s_v2_Disk*Quantity_Standard_F4s_v2</f>
        <v>0</v>
      </c>
      <c r="J250" s="389">
        <f t="shared" si="12"/>
        <v>0</v>
      </c>
      <c r="L250" s="340" t="s">
        <v>288</v>
      </c>
      <c r="M250" s="341">
        <v>4</v>
      </c>
      <c r="N250" s="341">
        <v>8</v>
      </c>
      <c r="O250" s="341">
        <v>32</v>
      </c>
      <c r="U250" s="349"/>
      <c r="V250" s="349"/>
      <c r="W250" s="349"/>
    </row>
    <row r="251" spans="1:23" ht="16.5" thickBot="1" x14ac:dyDescent="0.3">
      <c r="B251" s="387">
        <f>Quantity_Standard_F8s_v2</f>
        <v>0</v>
      </c>
      <c r="C251" s="394" t="str">
        <f t="shared" si="14"/>
        <v>Standard_F8s_v2 </v>
      </c>
      <c r="D251" s="395">
        <f>Standard_F8s_v2_Cores*Quantity_Standard_F8s_v2</f>
        <v>0</v>
      </c>
      <c r="E251" s="395">
        <f>Standard_F8s_v2_Memory*Quantity_Standard_F8s_v2</f>
        <v>0</v>
      </c>
      <c r="F251" s="345"/>
      <c r="G251" s="345"/>
      <c r="H251" s="395">
        <f>Standard_F8s_v2_Temp*Quantity_Standard_F8s_v2</f>
        <v>0</v>
      </c>
      <c r="I251" s="387">
        <f>Standard_F8s_v2_Disk*Quantity_Standard_F8s_v2</f>
        <v>0</v>
      </c>
      <c r="J251" s="389">
        <f t="shared" si="12"/>
        <v>0</v>
      </c>
      <c r="L251" s="340" t="s">
        <v>289</v>
      </c>
      <c r="M251" s="341">
        <v>8</v>
      </c>
      <c r="N251" s="341">
        <v>16</v>
      </c>
      <c r="O251" s="341">
        <v>64</v>
      </c>
      <c r="U251" s="349"/>
      <c r="V251" s="349"/>
      <c r="W251" s="349"/>
    </row>
    <row r="252" spans="1:23" ht="16.5" thickBot="1" x14ac:dyDescent="0.3">
      <c r="B252" s="387">
        <f>Quantity_Standard_F16s_v2</f>
        <v>0</v>
      </c>
      <c r="C252" s="394" t="str">
        <f t="shared" si="14"/>
        <v>Standard_F16s_v2 </v>
      </c>
      <c r="D252" s="395">
        <f>Standard_F16s_v2_Cores*Quantity_Standard_F16s_v2</f>
        <v>0</v>
      </c>
      <c r="E252" s="395">
        <f>Standard_F16s_v2_Memory*Quantity_Standard_F16s_v2</f>
        <v>0</v>
      </c>
      <c r="F252" s="345"/>
      <c r="G252" s="345"/>
      <c r="H252" s="395">
        <f>Standard_F16s_v2_Temp*Quantity_Standard_F16s_v2</f>
        <v>0</v>
      </c>
      <c r="I252" s="387">
        <f>Standard_F16s_v2_Disk*Quantity_Standard_F16s_v2</f>
        <v>0</v>
      </c>
      <c r="J252" s="389">
        <f t="shared" si="12"/>
        <v>0</v>
      </c>
      <c r="L252" s="340" t="s">
        <v>290</v>
      </c>
      <c r="M252" s="341">
        <v>16</v>
      </c>
      <c r="N252" s="341">
        <v>32</v>
      </c>
      <c r="O252" s="341">
        <v>128</v>
      </c>
    </row>
    <row r="253" spans="1:23" ht="16.5" thickBot="1" x14ac:dyDescent="0.3">
      <c r="B253" s="387">
        <f>Quantity_Standard_F32s_v2</f>
        <v>0</v>
      </c>
      <c r="C253" s="394" t="str">
        <f t="shared" si="14"/>
        <v>Standard_F32s_v2 </v>
      </c>
      <c r="D253" s="395">
        <f>Standard_F32s_v2_Cores*Quantity_Standard_F32s_v2</f>
        <v>0</v>
      </c>
      <c r="E253" s="395">
        <f>Standard_F32s_v2_Memory*Quantity_Standard_F32s_v2</f>
        <v>0</v>
      </c>
      <c r="F253" s="345"/>
      <c r="G253" s="345"/>
      <c r="H253" s="395">
        <f>Standard_F32s_v2_Temp*Quantity_Standard_F32s_v2</f>
        <v>0</v>
      </c>
      <c r="I253" s="387">
        <f>Standard_F32s_v2_Disk*Quantity_Standard_F32s_v2</f>
        <v>0</v>
      </c>
      <c r="J253" s="389">
        <f t="shared" si="12"/>
        <v>0</v>
      </c>
      <c r="L253" s="340" t="s">
        <v>291</v>
      </c>
      <c r="M253" s="341">
        <v>32</v>
      </c>
      <c r="N253" s="341">
        <v>64</v>
      </c>
      <c r="O253" s="341">
        <v>256</v>
      </c>
    </row>
    <row r="254" spans="1:23" ht="16.5" thickBot="1" x14ac:dyDescent="0.3">
      <c r="B254" s="387">
        <f>Quantity_Standard_F64s_v2</f>
        <v>0</v>
      </c>
      <c r="C254" s="394" t="str">
        <f t="shared" si="14"/>
        <v>Standard_F64s_v2 </v>
      </c>
      <c r="D254" s="395">
        <f>Standard_F64s_v2_Cores*Quantity_Standard_F64s_v2</f>
        <v>0</v>
      </c>
      <c r="E254" s="395">
        <f>Standard_F64s_v2_Memory*Quantity_Standard_F64s_v2</f>
        <v>0</v>
      </c>
      <c r="F254" s="345"/>
      <c r="G254" s="345"/>
      <c r="H254" s="395">
        <f>Standard_F64s_v2_Temp*Quantity_Standard_F64s_v2</f>
        <v>0</v>
      </c>
      <c r="I254" s="387">
        <f>Standard_F64s_v2_Disk*Quantity_Standard_F64s_v2</f>
        <v>0</v>
      </c>
      <c r="J254" s="389">
        <f t="shared" si="12"/>
        <v>0</v>
      </c>
      <c r="L254" s="340" t="s">
        <v>292</v>
      </c>
      <c r="M254" s="341">
        <v>64</v>
      </c>
      <c r="N254" s="341">
        <v>128</v>
      </c>
      <c r="O254" s="341">
        <v>512</v>
      </c>
    </row>
    <row r="255" spans="1:23" ht="16.5" thickBot="1" x14ac:dyDescent="0.3">
      <c r="A255" s="346"/>
      <c r="B255" s="347"/>
      <c r="C255" s="637" t="s">
        <v>294</v>
      </c>
      <c r="D255" s="638"/>
      <c r="E255" s="638"/>
      <c r="F255" s="638"/>
      <c r="G255" s="638"/>
      <c r="H255" s="638"/>
      <c r="I255" s="343"/>
      <c r="J255" s="350" t="s">
        <v>327</v>
      </c>
      <c r="L255" s="631"/>
      <c r="M255" s="632"/>
      <c r="N255" s="632"/>
      <c r="O255" s="633"/>
    </row>
    <row r="256" spans="1:23" ht="16.5" thickBot="1" x14ac:dyDescent="0.3">
      <c r="A256" s="346"/>
      <c r="B256" s="343"/>
      <c r="C256" s="640" t="s">
        <v>293</v>
      </c>
      <c r="D256" s="641"/>
      <c r="E256" s="641"/>
      <c r="F256" s="641"/>
      <c r="G256" s="641"/>
      <c r="H256" s="657"/>
      <c r="I256" s="343"/>
      <c r="J256" s="397">
        <f>MAX(J149:J254)</f>
        <v>0</v>
      </c>
      <c r="L256" s="626" t="s">
        <v>293</v>
      </c>
      <c r="M256" s="627"/>
      <c r="N256" s="627"/>
      <c r="O256" s="628"/>
    </row>
    <row r="257" spans="1:23" ht="16.5" thickBot="1" x14ac:dyDescent="0.3">
      <c r="A257" s="346"/>
      <c r="B257" s="387">
        <f>IF(AND(GPUTypeSelected="true",NVIDIA_v100_SelectionType="true"),Quantity_Standard_NC6s_v3,0)</f>
        <v>0</v>
      </c>
      <c r="C257" s="271" t="s">
        <v>295</v>
      </c>
      <c r="D257" s="388">
        <f>IF(AND(GPUTypeSelected="true",NVIDIA_v100_SelectionType="true"),Standard_NC6s_v3_Cores*Quantity_Standard_NC6s_v3,0)</f>
        <v>0</v>
      </c>
      <c r="E257" s="388">
        <f>IF(AND(GPUTypeSelected="true",NVIDIA_v100_SelectionType="true"),Standard_NC6s_v3_Memory*Quantity_Standard_NC6s_v3,0)</f>
        <v>0</v>
      </c>
      <c r="F257" s="388">
        <f>IF(AND(GPUTypeSelected="true",NVIDIA_v100_SelectionType="true"),Quantity_Standard_NC6s_v3*1,0)</f>
        <v>0</v>
      </c>
      <c r="G257" s="388">
        <f>IF(AND(GPUTypeSelected="true",NVIDIA_v100_SelectionType="true"),Quantity_Standard_NC6s_v3*Standard_NC6s_v3_GPUMemory,0)</f>
        <v>0</v>
      </c>
      <c r="H257" s="388">
        <f>IF(AND(GPUTypeSelected="true",NVIDIA_v100_SelectionType="true"),Standard_NC6s_v3_Temp*Quantity_Standard_NC6s_v3,0)</f>
        <v>0</v>
      </c>
      <c r="I257" s="387">
        <f>IF(AND(GPUTypeSelected="true",NVIDIA_v100_SelectionType="true"),Standard_NC6s_v3_Disk*Quantity_Standard_NC6s_v3,0)</f>
        <v>0</v>
      </c>
      <c r="L257" s="333" t="s">
        <v>295</v>
      </c>
      <c r="M257" s="334">
        <v>6</v>
      </c>
      <c r="N257" s="334">
        <v>112</v>
      </c>
      <c r="O257" s="334">
        <v>736</v>
      </c>
    </row>
    <row r="258" spans="1:23" ht="16.5" thickBot="1" x14ac:dyDescent="0.3">
      <c r="A258" s="346"/>
      <c r="B258" s="387">
        <f>IF(AND(GPUTypeSelected="true",NVIDIA_v100_SelectionType="true"),Quantity_Standard_NC12s_v3,0)</f>
        <v>0</v>
      </c>
      <c r="C258" s="271" t="s">
        <v>297</v>
      </c>
      <c r="D258" s="388">
        <f>IF(AND(GPUTypeSelected="true",NVIDIA_v100_SelectionType="true"),Standard_NC12s_v3_Cores*Quantity_Standard_NC12s_v3,0)</f>
        <v>0</v>
      </c>
      <c r="E258" s="388">
        <f>IF(AND(GPUTypeSelected="true",NVIDIA_v100_SelectionType="true"),Standard_NC12s_v3_Memory*Quantity_Standard_NC12s_v3,0)</f>
        <v>0</v>
      </c>
      <c r="F258" s="388">
        <f>IF(AND(GPUTypeSelected="true",NVIDIA_v100_SelectionType="true"),Quantity_Standard_NC12s_v3*2,0)</f>
        <v>0</v>
      </c>
      <c r="G258" s="388">
        <f>IF(AND(GPUTypeSelected="true",NVIDIA_v100_SelectionType="true"),Quantity_Standard_NC12s_v3*Standard_NC12s_v3_GPUMemory,0)</f>
        <v>0</v>
      </c>
      <c r="H258" s="388">
        <f>IF(AND(GPUTypeSelected="true",NVIDIA_v100_SelectionType="true"),Standard_NC12s_v3_Temp*Quantity_Standard_NC12s_v3,0)</f>
        <v>0</v>
      </c>
      <c r="I258" s="387">
        <f>IF(AND(GPUTypeSelected="true",NVIDIA_v100_SelectionType="true"),Standard_NC12s_v3_Disk*Quantity_Standard_NC12s_v3,0)</f>
        <v>0</v>
      </c>
      <c r="L258" s="333" t="s">
        <v>297</v>
      </c>
      <c r="M258" s="334">
        <v>12</v>
      </c>
      <c r="N258" s="334">
        <v>224</v>
      </c>
      <c r="O258" s="334">
        <v>1474</v>
      </c>
    </row>
    <row r="259" spans="1:23" ht="16.5" thickBot="1" x14ac:dyDescent="0.3">
      <c r="A259" s="346"/>
      <c r="B259" s="387">
        <f>IF(AND(GPUTypeSelected="true",NVIDIA_v100_SelectionType="true"),Quantity_Standard_NC24s_v3,0)</f>
        <v>0</v>
      </c>
      <c r="C259" s="271" t="s">
        <v>298</v>
      </c>
      <c r="D259" s="388">
        <f>IF(AND(GPUTypeSelected="true",NVIDIA_v100_SelectionType="true"),Standard_NC24s_v3_Cores*Quantity_Standard_NC24s_v3,0)</f>
        <v>0</v>
      </c>
      <c r="E259" s="388">
        <f>IF(AND(GPUTypeSelected="true",NVIDIA_v100_SelectionType="true"),Standard_NC24s_v3_Memory*Quantity_Standard_NC24s_v3,0)</f>
        <v>0</v>
      </c>
      <c r="F259" s="388">
        <f>IF(AND(GPUTypeSelected="true",NVIDIA_v100_SelectionType="true"),Quantity_Standard_NC24s_v3*4,0)</f>
        <v>0</v>
      </c>
      <c r="G259" s="388">
        <f>IF(AND(GPUTypeSelected="true",NVIDIA_v100_SelectionType="true"),Quantity_Standard_NC24s_v3*Standard_NC24s_v3_GPUMemory,0)</f>
        <v>0</v>
      </c>
      <c r="H259" s="388">
        <f>IF(AND(GPUTypeSelected="true",NVIDIA_v100_SelectionType="true"),Standard_NC24s_v3_Temp*Quantity_Standard_NC24s_v3,0)</f>
        <v>0</v>
      </c>
      <c r="I259" s="387">
        <f>IF(AND(GPUTypeSelected="true",NVIDIA_v100_SelectionType="true"),Standard_NC24s_v3_Disk*Quantity_Standard_NC24s_v3,0)</f>
        <v>0</v>
      </c>
      <c r="L259" s="333" t="s">
        <v>298</v>
      </c>
      <c r="M259" s="334">
        <v>24</v>
      </c>
      <c r="N259" s="334">
        <v>448</v>
      </c>
      <c r="O259" s="334">
        <v>2948</v>
      </c>
    </row>
    <row r="260" spans="1:23" ht="16.5" thickBot="1" x14ac:dyDescent="0.3">
      <c r="A260" s="346"/>
      <c r="B260" s="331"/>
      <c r="C260" s="351" t="s">
        <v>328</v>
      </c>
      <c r="D260" s="352"/>
      <c r="E260" s="352"/>
      <c r="F260" s="398">
        <f>SUM(F257:F259)</f>
        <v>0</v>
      </c>
      <c r="G260" s="398">
        <f>SUM(G257:G259)</f>
        <v>0</v>
      </c>
      <c r="H260" s="353"/>
      <c r="I260" s="331"/>
      <c r="L260" s="649"/>
      <c r="M260" s="650"/>
      <c r="N260" s="650"/>
      <c r="O260" s="651"/>
    </row>
    <row r="261" spans="1:23" ht="16.5" thickBot="1" x14ac:dyDescent="0.3">
      <c r="A261" s="346"/>
      <c r="B261" s="343"/>
      <c r="C261" s="640" t="s">
        <v>329</v>
      </c>
      <c r="D261" s="641"/>
      <c r="E261" s="641"/>
      <c r="F261" s="641"/>
      <c r="G261" s="641"/>
      <c r="H261" s="657"/>
      <c r="I261" s="331"/>
      <c r="L261" s="626" t="s">
        <v>329</v>
      </c>
      <c r="M261" s="627"/>
      <c r="N261" s="627"/>
      <c r="O261" s="628"/>
    </row>
    <row r="262" spans="1:23" s="349" customFormat="1" ht="16.5" thickBot="1" x14ac:dyDescent="0.3">
      <c r="A262" s="354"/>
      <c r="B262" s="387">
        <f>IF(AND(GPUTypeSelected="true",NVIDIA_T4_SelectionType="true"),Quantity_Standard_NC4as_T4_v3,0)</f>
        <v>0</v>
      </c>
      <c r="C262" s="348" t="s">
        <v>300</v>
      </c>
      <c r="D262" s="390">
        <f>IF(AND(GPUTypeSelected="true",NVIDIA_T4_SelectionType="true"),Standard_NC4as_T4_v3_Cores*Quantity_Standard_NC4as_T4_v3,0)</f>
        <v>0</v>
      </c>
      <c r="E262" s="390">
        <f>IF(AND(GPUTypeSelected="true",NVIDIA_T4_SelectionType="true"),Standard_NC4as_T4_v3_Memory*Quantity_Standard_NC4as_T4_v3,0)</f>
        <v>0</v>
      </c>
      <c r="F262" s="390">
        <f>IF(AND(GPUTypeSelected="true",NVIDIA_T4_SelectionType="true"),Quantity_Standard_NC4as_T4_v3*1,0)</f>
        <v>0</v>
      </c>
      <c r="G262" s="390">
        <f>IF(AND(GPUTypeSelected="true",NVIDIA_T4_SelectionType="true"),Quantity_Standard_NC4as_T4_v3*Standard_NC4as_T4_v3_GPUMemory,0)</f>
        <v>0</v>
      </c>
      <c r="H262" s="390">
        <f>IF(AND(GPUTypeSelected="true",NVIDIA_T4_SelectionType="true"),Standard_NC4as_T4_v3_Temp*Quantity_Standard_NC4as_T4_v3,0)</f>
        <v>0</v>
      </c>
      <c r="I262" s="387">
        <f>IF(AND(GPUTypeSelected="true",NVIDIA_T4_SelectionType="true"),Standard_NC4as_T4_v3_Disk*Quantity_Standard_NC4as_T4_v3,0)</f>
        <v>0</v>
      </c>
      <c r="J262" s="213"/>
      <c r="K262" s="213"/>
      <c r="L262" s="337" t="s">
        <v>300</v>
      </c>
      <c r="M262" s="338">
        <v>4</v>
      </c>
      <c r="N262" s="338">
        <v>28</v>
      </c>
      <c r="O262" s="338"/>
      <c r="Q262" s="213"/>
      <c r="U262" s="213"/>
      <c r="V262" s="213"/>
      <c r="W262" s="213"/>
    </row>
    <row r="263" spans="1:23" s="349" customFormat="1" ht="16.5" thickBot="1" x14ac:dyDescent="0.3">
      <c r="A263" s="354"/>
      <c r="B263" s="387">
        <f>IF(AND(GPUTypeSelected="true",NVIDIA_T4_SelectionType="true"),Quantity_Standard_NC8as_T4_v3,0)</f>
        <v>0</v>
      </c>
      <c r="C263" s="348" t="s">
        <v>301</v>
      </c>
      <c r="D263" s="390">
        <f>IF(AND(GPUTypeSelected="true",NVIDIA_T4_SelectionType="true"),Standard_NC8as_T4_v3_Cores*Quantity_Standard_NC8as_T4_v3,0)</f>
        <v>0</v>
      </c>
      <c r="E263" s="390">
        <f>IF(AND(GPUTypeSelected="true",NVIDIA_T4_SelectionType="true"),Standard_NC8as_T4_v3_Memory*Quantity_Standard_NC8as_T4_v3,0)</f>
        <v>0</v>
      </c>
      <c r="F263" s="390">
        <f>IF(AND(GPUTypeSelected="true",NVIDIA_T4_SelectionType="true"),Quantity_Standard_NC8as_T4_v3*1,0)</f>
        <v>0</v>
      </c>
      <c r="G263" s="390">
        <f>IF(AND(GPUTypeSelected="true",NVIDIA_T4_SelectionType="true"),Quantity_Standard_NC8as_T4_v3*Standard_NC8as_T4_v3_GPUMemory,0)</f>
        <v>0</v>
      </c>
      <c r="H263" s="390">
        <f>IF(AND(GPUTypeSelected="true",NVIDIA_T4_SelectionType="true"),Standard_NC8as_T4_v3_Temp*Quantity_Standard_NC8as_T4_v3,0)</f>
        <v>0</v>
      </c>
      <c r="I263" s="387">
        <f>IF(AND(GPUTypeSelected="true",NVIDIA_T4_SelectionType="true"),Standard_NC8as_T4_v3_Disk*Quantity_Standard_NC8as_T4_v3,0)</f>
        <v>0</v>
      </c>
      <c r="J263" s="213"/>
      <c r="K263" s="213"/>
      <c r="L263" s="337" t="s">
        <v>301</v>
      </c>
      <c r="M263" s="338">
        <v>8</v>
      </c>
      <c r="N263" s="338">
        <v>56</v>
      </c>
      <c r="O263" s="338"/>
      <c r="Q263" s="213"/>
      <c r="U263" s="213"/>
      <c r="V263" s="213"/>
      <c r="W263" s="213"/>
    </row>
    <row r="264" spans="1:23" s="349" customFormat="1" ht="16.5" thickBot="1" x14ac:dyDescent="0.3">
      <c r="A264" s="354"/>
      <c r="B264" s="387">
        <f>IF(AND(GPUTypeSelected="true",NVIDIA_T4_SelectionType="true"),Quantity_Standard_NC16as_T4_v3,0)</f>
        <v>0</v>
      </c>
      <c r="C264" s="348" t="s">
        <v>302</v>
      </c>
      <c r="D264" s="390">
        <f>IF(AND(GPUTypeSelected="true",NVIDIA_T4_SelectionType="true"),Standard_NC16as_T4_v3_Cores*Quantity_Standard_NC16as_T4_v3,0)</f>
        <v>0</v>
      </c>
      <c r="E264" s="390">
        <f>IF(AND(GPUTypeSelected="true",NVIDIA_T4_SelectionType="true"),Standard_NC16as_T4_v3_Memory*Quantity_Standard_NC16as_T4_v3,0)</f>
        <v>0</v>
      </c>
      <c r="F264" s="390">
        <f>IF(AND(GPUTypeSelected="true",NVIDIA_T4_SelectionType="true"),Quantity_Standard_NC16as_T4_v3*1,0)</f>
        <v>0</v>
      </c>
      <c r="G264" s="390">
        <f>IF(AND(GPUTypeSelected="true",NVIDIA_T4_SelectionType="true"),Quantity_Standard_NC16as_T4_v3*Standard_NC16as_T4_v3_GPUMemory,0)</f>
        <v>0</v>
      </c>
      <c r="H264" s="390">
        <f>IF(AND(GPUTypeSelected="true",NVIDIA_T4_SelectionType="true"),Standard_NC16as_T4_v3_Temp*Quantity_Standard_NC16as_T4_v3,0)</f>
        <v>0</v>
      </c>
      <c r="I264" s="387">
        <f>IF(AND(GPUTypeSelected="true",NVIDIA_T4_SelectionType="true"),Standard_NC16as_T4_v3_Disk*Quantity_Standard_NC16as_T4_v3,0)</f>
        <v>0</v>
      </c>
      <c r="J264" s="213"/>
      <c r="K264" s="213"/>
      <c r="L264" s="337" t="s">
        <v>302</v>
      </c>
      <c r="M264" s="338">
        <v>16</v>
      </c>
      <c r="N264" s="338">
        <v>110</v>
      </c>
      <c r="O264" s="338"/>
      <c r="Q264" s="213"/>
      <c r="U264" s="213"/>
      <c r="V264" s="213"/>
      <c r="W264" s="213"/>
    </row>
    <row r="265" spans="1:23" s="349" customFormat="1" ht="16.5" thickBot="1" x14ac:dyDescent="0.3">
      <c r="A265" s="354"/>
      <c r="B265" s="387">
        <f>IF(AND(GPUTypeSelected="true",NVIDIA_T4_SelectionType="true"),Quantity_Standard_NC64as_T4_v3,0)</f>
        <v>0</v>
      </c>
      <c r="C265" s="348" t="s">
        <v>303</v>
      </c>
      <c r="D265" s="390">
        <f>IF(AND(GPUTypeSelected="true",NVIDIA_T4_SelectionType="true"),Standard_NC64as_T4_v3_Cores*Quantity_Standard_NC64as_T4_v3,0)</f>
        <v>0</v>
      </c>
      <c r="E265" s="390">
        <f>IF(AND(GPUTypeSelected="true",NVIDIA_T4_SelectionType="true"),Standard_NC64as_T4_v3_Memory*Quantity_Standard_NC64as_T4_v3,0)</f>
        <v>0</v>
      </c>
      <c r="F265" s="390">
        <f>IF(AND(GPUTypeSelected="true",NVIDIA_T4_SelectionType="true"),Quantity_Standard_NC64as_T4_v3*4,0)</f>
        <v>0</v>
      </c>
      <c r="G265" s="390">
        <f>IF(AND(GPUTypeSelected="true",NVIDIA_T4_SelectionType="true"),Quantity_Standard_NC64as_T4_v3*Standard_NC64as_T4_v3_GPUMemory,0)</f>
        <v>0</v>
      </c>
      <c r="H265" s="390">
        <f>IF(AND(GPUTypeSelected="true",NVIDIA_T4_SelectionType="true"),Standard_NC64as_T4_v3_Temp*Quantity_Standard_NC64as_T4_v3,0)</f>
        <v>0</v>
      </c>
      <c r="I265" s="387">
        <f>IF(AND(GPUTypeSelected="true", NVIDIA_T4_SelectionType="true"),Standard_NC64as_T4_v3_Disk*Quantity_Standard_NC64as_T4_v3,0)</f>
        <v>0</v>
      </c>
      <c r="J265" s="213"/>
      <c r="K265" s="213"/>
      <c r="L265" s="337" t="s">
        <v>303</v>
      </c>
      <c r="M265" s="338">
        <v>64</v>
      </c>
      <c r="N265" s="338">
        <v>440</v>
      </c>
      <c r="O265" s="338"/>
      <c r="Q265" s="213"/>
      <c r="U265" s="213"/>
      <c r="V265" s="213"/>
      <c r="W265" s="213"/>
    </row>
    <row r="266" spans="1:23" s="349" customFormat="1" ht="16.5" thickBot="1" x14ac:dyDescent="0.3">
      <c r="A266" s="354"/>
      <c r="B266" s="331"/>
      <c r="C266" s="351" t="s">
        <v>330</v>
      </c>
      <c r="D266" s="352"/>
      <c r="E266" s="352"/>
      <c r="F266" s="398">
        <f>SUM(F262:F265)</f>
        <v>0</v>
      </c>
      <c r="G266" s="398">
        <f>SUM(G262:G265)</f>
        <v>0</v>
      </c>
      <c r="H266" s="353"/>
      <c r="I266" s="331"/>
      <c r="J266" s="213"/>
      <c r="K266" s="213"/>
      <c r="L266" s="631"/>
      <c r="M266" s="632"/>
      <c r="N266" s="632"/>
      <c r="O266" s="633"/>
      <c r="Q266" s="213"/>
      <c r="U266" s="213"/>
      <c r="V266" s="213"/>
      <c r="W266" s="213"/>
    </row>
    <row r="267" spans="1:23" s="349" customFormat="1" ht="16.5" thickBot="1" x14ac:dyDescent="0.3">
      <c r="A267" s="354"/>
      <c r="B267" s="331"/>
      <c r="C267" s="640" t="s">
        <v>723</v>
      </c>
      <c r="D267" s="641"/>
      <c r="E267" s="641"/>
      <c r="F267" s="641"/>
      <c r="G267" s="641"/>
      <c r="H267" s="657"/>
      <c r="I267" s="331"/>
      <c r="J267" s="213"/>
      <c r="K267" s="213"/>
      <c r="L267" s="626" t="s">
        <v>723</v>
      </c>
      <c r="M267" s="627"/>
      <c r="N267" s="627"/>
      <c r="O267" s="628"/>
      <c r="Q267" s="213"/>
      <c r="U267" s="213"/>
      <c r="V267" s="213"/>
      <c r="W267" s="213"/>
    </row>
    <row r="268" spans="1:23" s="349" customFormat="1" ht="16.5" thickBot="1" x14ac:dyDescent="0.3">
      <c r="A268" s="354"/>
      <c r="B268" s="387">
        <f>IF(AND(GPUTypeSelected="true",NVIDIA_A100_SelectionType="true"),Quantity_Standard_NC24ads_A100_v4,0)</f>
        <v>0</v>
      </c>
      <c r="C268" s="339" t="s">
        <v>709</v>
      </c>
      <c r="D268" s="392" cm="1">
        <f t="array" ref="D268">IF(AND(GPUTypeSelected="true",NVIDIA_A100_SelectionType="true"),Standard_NC24ads_A100_v4_Cores*Quantity_Standard_NC24ads_A100_v4,0)</f>
        <v>0</v>
      </c>
      <c r="E268" s="392">
        <f>IF(AND(GPUTypeSelected="true",NVIDIA_A100_SelectionType="true"),Standard_NC24ads_A100_v4_Memory*Quantity_Standard_NC24ads_A100_v4,0)</f>
        <v>0</v>
      </c>
      <c r="F268" s="392">
        <f>IF(AND(GPUTypeSelected="true",NVIDIA_A100_SelectionType="true"),Quantity_Standard_NC24ads_A100_v4*1,0)</f>
        <v>0</v>
      </c>
      <c r="G268" s="392">
        <f>IF(AND(GPUTypeSelected="true",NVIDIA_A100_SelectionType="true"),Quantity_Standard_NC24ads_A100_v4*Standard_NC24ads_A100_v4_GPUMemory,0)</f>
        <v>0</v>
      </c>
      <c r="H268" s="392">
        <f>IF(AND(GPUTypeSelected="true", NVIDIA_A100_SelectionType="true"),Standard_NC24ads_A100_v4_Temp*Quantity_Standard_NC24ads_A100_v4,0)</f>
        <v>0</v>
      </c>
      <c r="I268" s="387">
        <f>IF(AND(GPUTypeSelected="true", NVIDIA_A100_SelectionType="true"),Standard_NC24ads_A100_v4_Disk*Quantity_Standard_NC24ads_A100_v4,0)</f>
        <v>0</v>
      </c>
      <c r="J268" s="213"/>
      <c r="K268" s="213"/>
      <c r="L268" s="337" t="s">
        <v>709</v>
      </c>
      <c r="M268" s="338">
        <v>24</v>
      </c>
      <c r="N268" s="338">
        <v>220</v>
      </c>
      <c r="O268" s="338">
        <v>1123</v>
      </c>
      <c r="Q268" s="213"/>
      <c r="U268" s="213"/>
      <c r="V268" s="213"/>
      <c r="W268" s="213"/>
    </row>
    <row r="269" spans="1:23" s="349" customFormat="1" ht="16.5" thickBot="1" x14ac:dyDescent="0.3">
      <c r="A269" s="354"/>
      <c r="B269" s="387">
        <f>IF(AND(GPUTypeSelected="true",NVIDIA_A100_SelectionType="true"),Quantity_Standard_NC48ads_A100_v4,0)</f>
        <v>0</v>
      </c>
      <c r="C269" s="339" t="s">
        <v>710</v>
      </c>
      <c r="D269" s="392">
        <f>IF(AND(GPUTypeSelected="true",NVIDIA_A100_SelectionType="true"),Standard_NC48ads_A100_v4_Cores*Quantity_Standard_NC48ads_A100_v4,0)</f>
        <v>0</v>
      </c>
      <c r="E269" s="392">
        <f>IF(AND(GPUTypeSelected="true",NVIDIA_A100_SelectionType="true"),Standard_NC48ads_A100_v4_Memory*Quantity_Standard_NC48ads_A100_v4,0)</f>
        <v>0</v>
      </c>
      <c r="F269" s="392">
        <f>IF(AND(GPUTypeSelected="true",NVIDIA_A100_SelectionType="true"),Quantity_Standard_NC48ads_A100_v4*2,0)</f>
        <v>0</v>
      </c>
      <c r="G269" s="392" cm="1">
        <f t="array" ref="G269">IF(AND(GPUTypeSelected="true",NVIDIA_A100_SelectionType="true"),Quantity_Standard_NC48ads_A100_v4*Standard_NC48ads_A100_v4_GPUMemory,0)</f>
        <v>0</v>
      </c>
      <c r="H269" s="392">
        <f>IF(AND(GPUTypeSelected="true", NVIDIA_A100_SelectionType="true"),Standard_NC48ads_A100_v4_Temp*Quantity_Standard_NC48ads_A100_v4,0)</f>
        <v>0</v>
      </c>
      <c r="I269" s="387">
        <f>IF(AND(GPUTypeSelected="true", NVIDIA_A100_SelectionType="true"),Standard_NC48ads_A100_v4_Disk*Quantity_Standard_NC48ads_A100_v4,0)</f>
        <v>0</v>
      </c>
      <c r="J269" s="213"/>
      <c r="K269" s="213"/>
      <c r="L269" s="337" t="s">
        <v>710</v>
      </c>
      <c r="M269" s="338">
        <v>48</v>
      </c>
      <c r="N269" s="338">
        <v>440</v>
      </c>
      <c r="O269" s="338">
        <v>2246</v>
      </c>
      <c r="Q269" s="213"/>
      <c r="U269" s="213"/>
      <c r="V269" s="213"/>
      <c r="W269" s="213"/>
    </row>
    <row r="270" spans="1:23" s="349" customFormat="1" ht="16.5" thickBot="1" x14ac:dyDescent="0.3">
      <c r="A270" s="354"/>
      <c r="B270" s="331"/>
      <c r="C270" s="351" t="s">
        <v>722</v>
      </c>
      <c r="D270" s="352"/>
      <c r="E270" s="352"/>
      <c r="F270" s="398">
        <f>SUM(F268:F269)</f>
        <v>0</v>
      </c>
      <c r="G270" s="398">
        <f>SUM(G268:G269)</f>
        <v>0</v>
      </c>
      <c r="H270" s="353"/>
      <c r="I270" s="331"/>
      <c r="J270" s="213"/>
      <c r="K270" s="213"/>
      <c r="L270" s="337"/>
      <c r="M270" s="338"/>
      <c r="N270" s="338"/>
      <c r="O270" s="338"/>
      <c r="Q270" s="213"/>
      <c r="U270" s="213"/>
      <c r="V270" s="213"/>
      <c r="W270" s="213"/>
    </row>
    <row r="271" spans="1:23" ht="16.5" thickBot="1" x14ac:dyDescent="0.3">
      <c r="A271" s="346"/>
      <c r="B271" s="343"/>
      <c r="C271" s="640" t="s">
        <v>331</v>
      </c>
      <c r="D271" s="641"/>
      <c r="E271" s="641"/>
      <c r="F271" s="641"/>
      <c r="G271" s="641"/>
      <c r="H271" s="657"/>
      <c r="I271" s="331"/>
      <c r="L271" s="626" t="s">
        <v>331</v>
      </c>
      <c r="M271" s="627"/>
      <c r="N271" s="627"/>
      <c r="O271" s="628"/>
    </row>
    <row r="272" spans="1:23" ht="16.5" thickBot="1" x14ac:dyDescent="0.3">
      <c r="A272" s="346"/>
      <c r="B272" s="387">
        <f>IF(AND(GPUTypeSelected="true",AMD_GPUType_Selection_Check="true",Sku_6_GPU_Partition_Number = Standard_NV4as_v4_GPU),Quantity_Standard_NV4as_v4,0)</f>
        <v>0</v>
      </c>
      <c r="C272" s="344" t="s">
        <v>305</v>
      </c>
      <c r="D272" s="392">
        <f>IF(AND(GPUTypeSelected="true",AMD_GPUType_Selection_Check="true",Sku_6_GPU_Partition_Number = Standard_NV4as_v4_GPU),Standard_NV4as_v4_Cores*Quantity_Standard_NV4as_v4,0)</f>
        <v>0</v>
      </c>
      <c r="E272" s="392">
        <f>IF(AND(GPUTypeSelected="true",AMD_GPUType_Selection_Check="true",Sku_6_GPU_Partition_Number = Standard_NV4as_v4_GPU),Standard_NV4as_v4_Memory*Quantity_Standard_NV4as_v4,0)</f>
        <v>0</v>
      </c>
      <c r="F272" s="392">
        <f>IF(AND(GPUTypeSelected="true",AMD_GPUType_Selection_Check="true",Sku_6_GPU_Partition_Number = Standard_NV4as_v4_GPU),Quantity_Standard_NV4as_v4,0)</f>
        <v>0</v>
      </c>
      <c r="G272" s="392">
        <f>IF(AND(GPUTypeSelected="true",AMD_GPUType_Selection_Check="true",Sku_6_GPU_Partition_Number = Standard_NV4as_v4_GPU),Quantity_Standard_NV4as_v4*Standard_NV4as_v4_GPUMemory,0)</f>
        <v>0</v>
      </c>
      <c r="H272" s="392">
        <f>IF(AND(GPUTypeSelected="true",AMD_GPUType_Selection_Check="true",Sku_6_GPU_Partition_Number = Standard_NV4as_v4_GPU),Standard_NV4as_v4_Temp*Quantity_Standard_NV4as_v4,0)</f>
        <v>0</v>
      </c>
      <c r="I272" s="387">
        <f>IF(AND(GPUTypeSelected="true",AMD_GPUType_Selection_Check="true",Sku_6_GPU_Partition_Number = Standard_NV4as_v4_GPU),Standard_NV4as_v4_Disk*Quantity_Standard_NV4as_v4,0)</f>
        <v>0</v>
      </c>
      <c r="L272" s="340" t="s">
        <v>305</v>
      </c>
      <c r="M272" s="341">
        <v>4</v>
      </c>
      <c r="N272" s="341">
        <v>14</v>
      </c>
      <c r="O272" s="341">
        <v>88</v>
      </c>
    </row>
    <row r="273" spans="1:15" ht="16.5" thickBot="1" x14ac:dyDescent="0.3">
      <c r="A273" s="346"/>
      <c r="B273" s="387">
        <f>IF(AND(GPUTypeSelected="true",AMD_GPUType_Selection_Check="true",Sku_6_GPU_Partition_Number = Standard_NV8as_v4_GPU),Quantity_Standard_NV8as_v4,0)</f>
        <v>0</v>
      </c>
      <c r="C273" s="344" t="s">
        <v>307</v>
      </c>
      <c r="D273" s="392">
        <f>IF(AND(GPUTypeSelected="true",AMD_GPUType_Selection_Check="true",Sku_6_GPU_Partition_Number = Standard_NV8as_v4_GPU),Standard_NV8as_v4_Cores*Quantity_Standard_NV8as_v4,0)</f>
        <v>0</v>
      </c>
      <c r="E273" s="392">
        <f>IF(AND(GPUTypeSelected="true",AMD_GPUType_Selection_Check="true",Sku_6_GPU_Partition_Number = Standard_NV8as_v4_GPU),Standard_NV8as_v4_Memory*Quantity_Standard_NV8as_v4,0)</f>
        <v>0</v>
      </c>
      <c r="F273" s="392">
        <f>IF(AND(GPUTypeSelected="true",AMD_GPUType_Selection_Check="true",Sku_6_GPU_Partition_Number = Standard_NV8as_v4_GPU),Quantity_Standard_NV8as_v4,0)</f>
        <v>0</v>
      </c>
      <c r="G273" s="392">
        <f>IF(AND(GPUTypeSelected="true",AMD_GPUType_Selection_Check="true",Sku_6_GPU_Partition_Number = Standard_NV8as_v4_GPU),Quantity_Standard_NV8as_v4*Standard_NV8as_v4_GPUMemory,0)</f>
        <v>0</v>
      </c>
      <c r="H273" s="392">
        <f>IF(AND(GPUTypeSelected="true",AMD_GPUType_Selection_Check="true",Sku_6_GPU_Partition_Number = Standard_NV8as_v4_GPU),Standard_NV8as_v4_Temp*Quantity_Standard_NV8as_v4,0)</f>
        <v>0</v>
      </c>
      <c r="I273" s="387">
        <f>IF(AND(GPUTypeSelected="true",AMD_GPUType_Selection_Check="true",Sku_6_GPU_Partition_Number = Standard_NV8as_v4_GPU),Standard_NV8as_v4_Disk*Quantity_Standard_NV8as_v4,0)</f>
        <v>0</v>
      </c>
      <c r="L273" s="340" t="s">
        <v>307</v>
      </c>
      <c r="M273" s="341">
        <v>8</v>
      </c>
      <c r="N273" s="341">
        <v>18</v>
      </c>
      <c r="O273" s="341">
        <v>176</v>
      </c>
    </row>
    <row r="274" spans="1:15" ht="16.5" thickBot="1" x14ac:dyDescent="0.3">
      <c r="A274" s="346"/>
      <c r="B274" s="387">
        <f>IF(AND(GPUTypeSelected="true",AMD_GPUType_Selection_Check="true",Sku_6_GPU_Partition_Number = Standard_NV16as_v4_GPU),Quantity_Standard_NV16as_v4,0)</f>
        <v>0</v>
      </c>
      <c r="C274" s="344" t="s">
        <v>309</v>
      </c>
      <c r="D274" s="392">
        <f>IF(AND(GPUTypeSelected="true",AMD_GPUType_Selection_Check="true",Sku_6_GPU_Partition_Number = Standard_NV16as_v4_GPU),Standard_NV16as_v4_Cores*Quantity_Standard_NV16as_v4,0)</f>
        <v>0</v>
      </c>
      <c r="E274" s="392">
        <f>IF(AND(GPUTypeSelected="true",AMD_GPUType_Selection_Check="true",Sku_6_GPU_Partition_Number = Standard_NV16as_v4_GPU),Standard_NV16as_v4_Memory*Quantity_Standard_NV16as_v4,0)</f>
        <v>0</v>
      </c>
      <c r="F274" s="392">
        <f>IF(AND(GPUTypeSelected="true",AMD_GPUType_Selection_Check="true",Sku_6_GPU_Partition_Number = Standard_NV16as_v4_GPU),Quantity_Standard_NV16as_v4,0)</f>
        <v>0</v>
      </c>
      <c r="G274" s="392">
        <f>IF(AND(GPUTypeSelected="true",AMD_GPUType_Selection_Check="true",Sku_6_GPU_Partition_Number = Standard_NV16as_v4_GPU),Quantity_Standard_NV16as_v4*Standard_NV16as_v4_GPUMemory,0)</f>
        <v>0</v>
      </c>
      <c r="H274" s="392">
        <f>IF(AND(GPUTypeSelected="true",AMD_GPUType_Selection_Check="true",Sku_6_GPU_Partition_Number = Standard_NV16as_v4_GPU),Standard_NV16as_v4_Temp*Quantity_Standard_NV16as_v4,0)</f>
        <v>0</v>
      </c>
      <c r="I274" s="387">
        <f>IF(AND(GPUTypeSelected="true",AMD_GPUType_Selection_Check="true",Sku_6_GPU_Partition_Number = Standard_NV16as_v4_GPU),Standard_NV16as_v4_Disk*Quantity_Standard_NV16as_v4,0)</f>
        <v>0</v>
      </c>
      <c r="L274" s="340" t="s">
        <v>309</v>
      </c>
      <c r="M274" s="341">
        <v>16</v>
      </c>
      <c r="N274" s="341">
        <v>56</v>
      </c>
      <c r="O274" s="341">
        <v>352</v>
      </c>
    </row>
    <row r="275" spans="1:15" ht="16.5" thickBot="1" x14ac:dyDescent="0.3">
      <c r="A275" s="346"/>
      <c r="B275" s="387">
        <f>IF(AND(GPUTypeSelected="true",AMD_GPUType_Selection_Check="true",Sku_6_GPU_Partition_Number = Standard_NV32as_v4_GPU),Quantity_Standard_NV32as_v4,0)</f>
        <v>0</v>
      </c>
      <c r="C275" s="344" t="s">
        <v>312</v>
      </c>
      <c r="D275" s="392">
        <f>IF(AND(GPUTypeSelected="true",AMD_GPUType_Selection_Check="true",Sku_6_GPU_Partition_Number = Standard_NV32as_v4_GPU),Standard_NV32as_v4_Cores*Quantity_Standard_NV32as_v4,0)</f>
        <v>0</v>
      </c>
      <c r="E275" s="392">
        <f>IF(AND(GPUTypeSelected="true",AMD_GPUType_Selection_Check="true",Sku_6_GPU_Partition_Number = Standard_NV32as_v4_GPU),Standard_NV32as_v4_Memory*Quantity_Standard_NV32as_v4,0)</f>
        <v>0</v>
      </c>
      <c r="F275" s="392">
        <f>IF(AND(GPUTypeSelected="true",AMD_GPUType_Selection_Check="true",Sku_6_GPU_Partition_Number = Standard_NV32as_v4_GPU),Quantity_Standard_NV32as_v4,0)</f>
        <v>0</v>
      </c>
      <c r="G275" s="392">
        <f>IF(AND(GPUTypeSelected="true",AMD_GPUType_Selection_Check="true",Sku_6_GPU_Partition_Number = Standard_NV32as_v4_GPU),Quantity_Standard_NV32as_v4*Standard_NV32as_v4_GPUMemory,0)</f>
        <v>0</v>
      </c>
      <c r="H275" s="392">
        <f>IF(AND(GPUTypeSelected="true",AMD_GPUType_Selection_Check="true",Sku_6_GPU_Partition_Number = Standard_NV32as_v4_GPU),Standard_NV32as_v4_Temp*Quantity_Standard_NV32as_v4,0)</f>
        <v>0</v>
      </c>
      <c r="I275" s="387">
        <f>IF(AND(GPUTypeSelected="true",AMD_GPUType_Selection_Check="true",Sku_6_GPU_Partition_Number = Standard_NV32as_v4_GPU),Standard_NV32as_v4_Disk*Quantity_Standard_NV32as_v4,0)</f>
        <v>0</v>
      </c>
      <c r="L275" s="340" t="s">
        <v>312</v>
      </c>
      <c r="M275" s="341">
        <v>32</v>
      </c>
      <c r="N275" s="341">
        <v>112</v>
      </c>
      <c r="O275" s="341">
        <v>704</v>
      </c>
    </row>
    <row r="276" spans="1:15" ht="16.5" thickBot="1" x14ac:dyDescent="0.3">
      <c r="A276" s="346"/>
      <c r="B276" s="355"/>
      <c r="C276" s="351" t="s">
        <v>332</v>
      </c>
      <c r="D276" s="352"/>
      <c r="E276" s="352"/>
      <c r="F276" s="398">
        <f>SUM(F272:F275)</f>
        <v>0</v>
      </c>
      <c r="G276" s="398">
        <f>SUM(G272:G275)</f>
        <v>0</v>
      </c>
      <c r="H276" s="353"/>
      <c r="I276" s="355"/>
      <c r="L276" s="646"/>
      <c r="M276" s="647"/>
      <c r="N276" s="647"/>
      <c r="O276" s="648"/>
    </row>
    <row r="277" spans="1:15" ht="15.75" thickBot="1" x14ac:dyDescent="0.3">
      <c r="D277" s="356"/>
    </row>
    <row r="278" spans="1:15" ht="16.5" thickBot="1" x14ac:dyDescent="0.3">
      <c r="B278" s="58">
        <f>SUM(B151:B277)</f>
        <v>0</v>
      </c>
      <c r="C278" s="357" t="s">
        <v>333</v>
      </c>
      <c r="D278" s="58">
        <f>SUM(D151:D254)/Allocated_VtoP_CPU_Ratio</f>
        <v>0</v>
      </c>
      <c r="E278" s="58">
        <f>SUM(E151:E254)</f>
        <v>0</v>
      </c>
      <c r="F278" s="358"/>
      <c r="G278" s="358"/>
      <c r="H278" s="58">
        <f>SUM(H151:H254)</f>
        <v>0</v>
      </c>
      <c r="I278" s="58">
        <f>SUM(I151:I254)</f>
        <v>0</v>
      </c>
    </row>
    <row r="279" spans="1:15" ht="16.5" thickBot="1" x14ac:dyDescent="0.3">
      <c r="B279" s="285"/>
      <c r="C279" s="357" t="s">
        <v>334</v>
      </c>
      <c r="D279" s="58">
        <f>SUM(D257:D275)/Allocated_VtoP_CPU_Ratio</f>
        <v>0</v>
      </c>
      <c r="E279" s="58">
        <f>SUM(E257:E259,E262:E265,E268:E269,E272:E275)</f>
        <v>0</v>
      </c>
      <c r="F279" s="58">
        <f>Sku_6_Consumed_GPU</f>
        <v>0</v>
      </c>
      <c r="G279" s="358"/>
      <c r="H279" s="58">
        <f>SUM(H257:H275)</f>
        <v>0</v>
      </c>
      <c r="I279" s="58">
        <f>SUM(I257:I275)</f>
        <v>0</v>
      </c>
    </row>
    <row r="280" spans="1:15" ht="15.75" x14ac:dyDescent="0.25">
      <c r="B280" s="285"/>
      <c r="C280" s="357"/>
      <c r="D280" s="285"/>
      <c r="E280" s="285"/>
      <c r="F280" s="285"/>
      <c r="G280" s="359"/>
      <c r="H280" s="285"/>
      <c r="I280" s="285"/>
    </row>
    <row r="281" spans="1:15" x14ac:dyDescent="0.25">
      <c r="E281" s="285"/>
      <c r="I281" s="285"/>
    </row>
    <row r="282" spans="1:15" x14ac:dyDescent="0.25">
      <c r="B282" s="243" t="s">
        <v>335</v>
      </c>
      <c r="C282" s="243" t="s">
        <v>336</v>
      </c>
      <c r="E282" s="243" t="s">
        <v>337</v>
      </c>
      <c r="F282" s="360"/>
      <c r="G282" s="361"/>
    </row>
    <row r="283" spans="1:15" x14ac:dyDescent="0.25">
      <c r="B283" s="399">
        <f>SUM(B151:B254)</f>
        <v>0</v>
      </c>
      <c r="C283" s="399">
        <f>SUM(B256:B275)</f>
        <v>0</v>
      </c>
      <c r="E283" s="400">
        <f>IF(Selected_Largest_HAVM &gt;Largest_Infra_VM_GPUonly, Selected_Largest_HAVM, Largest_Infra_VM_GPUonly)</f>
        <v>18</v>
      </c>
    </row>
    <row r="288" spans="1:15" x14ac:dyDescent="0.25">
      <c r="B288" s="282" t="s">
        <v>338</v>
      </c>
    </row>
    <row r="290" spans="2:19" x14ac:dyDescent="0.25">
      <c r="M290" s="292"/>
      <c r="N290" s="292"/>
      <c r="O290" s="292"/>
      <c r="P290" s="292"/>
      <c r="Q290" s="292"/>
      <c r="R290" s="292"/>
      <c r="S290" s="292"/>
    </row>
    <row r="291" spans="2:19" ht="15.75" x14ac:dyDescent="0.25">
      <c r="M291" s="362"/>
      <c r="N291" s="285"/>
      <c r="O291" s="285"/>
      <c r="P291" s="285"/>
      <c r="Q291" s="285"/>
      <c r="R291" s="285"/>
      <c r="S291" s="363"/>
    </row>
    <row r="292" spans="2:19" ht="15.75" x14ac:dyDescent="0.25">
      <c r="M292" s="362"/>
      <c r="N292" s="285"/>
      <c r="O292" s="285"/>
      <c r="P292" s="285"/>
      <c r="Q292" s="285"/>
      <c r="R292" s="285"/>
      <c r="S292" s="363"/>
    </row>
    <row r="293" spans="2:19" ht="15.75" x14ac:dyDescent="0.25">
      <c r="M293" s="362"/>
      <c r="N293" s="285"/>
      <c r="O293" s="285"/>
      <c r="P293" s="285"/>
      <c r="Q293" s="285"/>
      <c r="R293" s="285"/>
      <c r="S293" s="363"/>
    </row>
    <row r="294" spans="2:19" x14ac:dyDescent="0.25">
      <c r="M294" s="292"/>
      <c r="N294" s="292"/>
      <c r="O294" s="292"/>
      <c r="P294" s="292"/>
      <c r="Q294" s="292"/>
      <c r="R294" s="292"/>
      <c r="S294" s="292"/>
    </row>
    <row r="295" spans="2:19" ht="15.75" x14ac:dyDescent="0.25">
      <c r="M295" s="362"/>
      <c r="N295" s="285"/>
      <c r="O295" s="285"/>
      <c r="P295" s="285"/>
      <c r="Q295" s="285"/>
      <c r="R295" s="285"/>
      <c r="S295" s="363"/>
    </row>
    <row r="296" spans="2:19" ht="15.75" x14ac:dyDescent="0.25">
      <c r="B296" s="364"/>
      <c r="M296" s="362"/>
      <c r="N296" s="285"/>
      <c r="O296" s="285"/>
      <c r="P296" s="285"/>
      <c r="Q296" s="285"/>
      <c r="R296" s="285"/>
      <c r="S296" s="363"/>
    </row>
    <row r="297" spans="2:19" ht="15.75" x14ac:dyDescent="0.25">
      <c r="M297" s="362"/>
      <c r="N297" s="285"/>
      <c r="O297" s="285"/>
      <c r="P297" s="285"/>
      <c r="Q297" s="285"/>
      <c r="R297" s="285"/>
      <c r="S297" s="363"/>
    </row>
    <row r="298" spans="2:19" ht="15.75" x14ac:dyDescent="0.25">
      <c r="M298" s="362"/>
      <c r="N298" s="285"/>
      <c r="O298" s="285"/>
      <c r="P298" s="285"/>
      <c r="Q298" s="285"/>
      <c r="R298" s="285"/>
      <c r="S298" s="363"/>
    </row>
    <row r="299" spans="2:19" x14ac:dyDescent="0.25">
      <c r="M299" s="292"/>
      <c r="N299" s="292"/>
      <c r="O299" s="292"/>
      <c r="P299" s="292"/>
      <c r="Q299" s="292"/>
      <c r="R299" s="292"/>
      <c r="S299" s="292"/>
    </row>
    <row r="300" spans="2:19" ht="15.75" x14ac:dyDescent="0.25">
      <c r="M300" s="365"/>
      <c r="N300" s="366"/>
      <c r="O300" s="366"/>
      <c r="P300" s="285"/>
      <c r="Q300" s="285"/>
      <c r="R300" s="285"/>
      <c r="S300" s="363"/>
    </row>
    <row r="301" spans="2:19" ht="15.75" x14ac:dyDescent="0.25">
      <c r="M301" s="365"/>
      <c r="N301" s="366"/>
      <c r="O301" s="366"/>
      <c r="P301" s="285"/>
      <c r="Q301" s="285"/>
      <c r="R301" s="285"/>
      <c r="S301" s="363"/>
    </row>
    <row r="302" spans="2:19" ht="15.75" x14ac:dyDescent="0.25">
      <c r="M302" s="365"/>
      <c r="N302" s="366"/>
      <c r="O302" s="366"/>
      <c r="P302" s="285"/>
      <c r="Q302" s="285"/>
      <c r="R302" s="285"/>
      <c r="S302" s="363"/>
    </row>
    <row r="303" spans="2:19" ht="15.75" x14ac:dyDescent="0.25">
      <c r="M303" s="365"/>
      <c r="N303" s="366"/>
      <c r="O303" s="366"/>
      <c r="P303" s="285"/>
      <c r="Q303" s="285"/>
      <c r="R303" s="285"/>
      <c r="S303" s="363"/>
    </row>
  </sheetData>
  <sheetProtection algorithmName="SHA-512" hashValue="3jv3+Qd+AzGhIP7/zUyBWRgSYhmzle+fdzl7P6aftr9p3zKFYhryjmhYsLUyRUKs65JW2UNRvQmHUfEwOCksew==" saltValue="tCU1S3IYntOT1JdXH5xJrQ==" spinCount="100000" sheet="1" objects="1" scenarios="1"/>
  <mergeCells count="87">
    <mergeCell ref="Y2:AA4"/>
    <mergeCell ref="Y5:AA5"/>
    <mergeCell ref="Y11:AA11"/>
    <mergeCell ref="Y7:AA9"/>
    <mergeCell ref="C271:H271"/>
    <mergeCell ref="C129:J129"/>
    <mergeCell ref="C150:H150"/>
    <mergeCell ref="C156:H156"/>
    <mergeCell ref="C165:H165"/>
    <mergeCell ref="C173:H173"/>
    <mergeCell ref="C178:H178"/>
    <mergeCell ref="C224:H224"/>
    <mergeCell ref="C236:H236"/>
    <mergeCell ref="C242:H242"/>
    <mergeCell ref="C267:H267"/>
    <mergeCell ref="J125:J126"/>
    <mergeCell ref="J113:J114"/>
    <mergeCell ref="J117:J118"/>
    <mergeCell ref="C256:H256"/>
    <mergeCell ref="C261:H261"/>
    <mergeCell ref="C209:H209"/>
    <mergeCell ref="C214:H214"/>
    <mergeCell ref="C219:H219"/>
    <mergeCell ref="C189:H189"/>
    <mergeCell ref="C229:H229"/>
    <mergeCell ref="C235:H235"/>
    <mergeCell ref="C208:H208"/>
    <mergeCell ref="C121:I121"/>
    <mergeCell ref="L214:O214"/>
    <mergeCell ref="L219:O219"/>
    <mergeCell ref="L189:O189"/>
    <mergeCell ref="L229:O229"/>
    <mergeCell ref="J127:J128"/>
    <mergeCell ref="L150:O150"/>
    <mergeCell ref="L156:O156"/>
    <mergeCell ref="L165:O165"/>
    <mergeCell ref="L173:O173"/>
    <mergeCell ref="L178:O178"/>
    <mergeCell ref="C112:I112"/>
    <mergeCell ref="C116:I116"/>
    <mergeCell ref="C124:I124"/>
    <mergeCell ref="C71:I71"/>
    <mergeCell ref="C76:I76"/>
    <mergeCell ref="C81:I81"/>
    <mergeCell ref="C93:I93"/>
    <mergeCell ref="C99:I99"/>
    <mergeCell ref="C105:I105"/>
    <mergeCell ref="B92:I92"/>
    <mergeCell ref="C86:I86"/>
    <mergeCell ref="L261:O261"/>
    <mergeCell ref="L271:O271"/>
    <mergeCell ref="L266:O266"/>
    <mergeCell ref="L276:O276"/>
    <mergeCell ref="L260:O260"/>
    <mergeCell ref="L267:O267"/>
    <mergeCell ref="L256:O256"/>
    <mergeCell ref="C149:H149"/>
    <mergeCell ref="L235:O235"/>
    <mergeCell ref="L208:O208"/>
    <mergeCell ref="C255:H255"/>
    <mergeCell ref="L255:O255"/>
    <mergeCell ref="L224:O224"/>
    <mergeCell ref="L236:O236"/>
    <mergeCell ref="L242:O242"/>
    <mergeCell ref="L248:O248"/>
    <mergeCell ref="L183:O183"/>
    <mergeCell ref="L195:O195"/>
    <mergeCell ref="L209:O209"/>
    <mergeCell ref="C248:H248"/>
    <mergeCell ref="C183:H183"/>
    <mergeCell ref="C195:H195"/>
    <mergeCell ref="U2:W2"/>
    <mergeCell ref="C5:J5"/>
    <mergeCell ref="U3:W4"/>
    <mergeCell ref="C7:I7"/>
    <mergeCell ref="C13:I13"/>
    <mergeCell ref="U5:W5"/>
    <mergeCell ref="M11:T11"/>
    <mergeCell ref="B65:I65"/>
    <mergeCell ref="C22:I22"/>
    <mergeCell ref="T71:W71"/>
    <mergeCell ref="C30:I30"/>
    <mergeCell ref="C35:I35"/>
    <mergeCell ref="C40:I40"/>
    <mergeCell ref="C46:I46"/>
    <mergeCell ref="C66:I66"/>
    <mergeCell ref="C59:I59"/>
  </mergeCells>
  <phoneticPr fontId="40" type="noConversion"/>
  <conditionalFormatting sqref="B122:B123">
    <cfRule type="expression" dxfId="27" priority="12" stopIfTrue="1">
      <formula>(NVIDIA_A100_SelectionType="false")</formula>
    </cfRule>
  </conditionalFormatting>
  <conditionalFormatting sqref="B113:B115">
    <cfRule type="expression" dxfId="26" priority="11">
      <formula>(NVIDIA_v100_SelectionType="false")</formula>
    </cfRule>
  </conditionalFormatting>
  <conditionalFormatting sqref="B117:B120">
    <cfRule type="expression" dxfId="25" priority="10">
      <formula>(NVIDIA_T4_SelectionType="false")</formula>
    </cfRule>
  </conditionalFormatting>
  <conditionalFormatting sqref="B125">
    <cfRule type="expression" dxfId="24" priority="7" stopIfTrue="1">
      <formula>(GPUTypeSelected="false")</formula>
    </cfRule>
    <cfRule type="expression" dxfId="23" priority="8">
      <formula>$F$125&lt;&gt;Sku_6_GPU_Partition_Number</formula>
    </cfRule>
  </conditionalFormatting>
  <conditionalFormatting sqref="B126">
    <cfRule type="expression" dxfId="22" priority="5">
      <formula>$F$126&lt;&gt;Sku_6_GPU_Partition_Number</formula>
    </cfRule>
    <cfRule type="expression" dxfId="21" priority="6" stopIfTrue="1">
      <formula>(GPUTypeSelected="false")</formula>
    </cfRule>
  </conditionalFormatting>
  <conditionalFormatting sqref="B127">
    <cfRule type="expression" dxfId="20" priority="1">
      <formula>$F$127&lt;&gt;Sku_6_GPU_Partition_Number</formula>
    </cfRule>
    <cfRule type="expression" dxfId="19" priority="2" stopIfTrue="1">
      <formula>(GPUTypeSelected="false")</formula>
    </cfRule>
  </conditionalFormatting>
  <conditionalFormatting sqref="B128">
    <cfRule type="expression" dxfId="18" priority="3" stopIfTrue="1">
      <formula>(GPUTypeSelected="false")</formula>
    </cfRule>
    <cfRule type="expression" dxfId="17" priority="4">
      <formula>$F$128&lt;&gt;Sku_6_GPU_Partition_Number</formula>
    </cfRule>
  </conditionalFormatting>
  <dataValidations count="7">
    <dataValidation type="whole" allowBlank="1" showInputMessage="1" showErrorMessage="1" sqref="B7:B64 B67:B91 B93:B128" xr:uid="{00000000-0002-0000-0300-000000000000}">
      <formula1>0</formula1>
      <formula2>670</formula2>
    </dataValidation>
    <dataValidation type="list" allowBlank="1" showInputMessage="1" showErrorMessage="1" sqref="Y5" xr:uid="{00000000-0002-0000-0300-000001000000}">
      <formula1>"1,2,4"</formula1>
    </dataValidation>
    <dataValidation type="list" allowBlank="1" showInputMessage="1" showErrorMessage="1" sqref="S286:S299" xr:uid="{68066058-639E-418A-87D0-B5E2947BF0A0}">
      <formula1>$V$11:$V$18</formula1>
    </dataValidation>
    <dataValidation type="list" allowBlank="1" showInputMessage="1" showErrorMessage="1" promptTitle="Select VM Size" prompt="Select an available VM size for this Workload." sqref="C60:C64 C47:C51 C9:C12 C77:C80 C72:C75 C41:C45 C36:C39 C31:C34 C14:C21 C82:C85" xr:uid="{00000000-0002-0000-0300-000003000000}">
      <formula1>$L$151:$L$218</formula1>
    </dataValidation>
    <dataValidation type="list" allowBlank="1" showInputMessage="1" showErrorMessage="1" promptTitle="Select VM Size" prompt="Select an available VM size for this Workload." sqref="C67:C70" xr:uid="{00000000-0002-0000-0300-000004000000}">
      <formula1>$L$150:$L$217</formula1>
    </dataValidation>
    <dataValidation type="list" allowBlank="1" showInputMessage="1" showErrorMessage="1" promptTitle="Select VM Size" prompt="Select an available VM size for this Workload." sqref="C8 C87:C91" xr:uid="{8F085A9B-3FAD-49E9-AF06-C5FC318E8593}">
      <formula1>$L$151:$L$271</formula1>
    </dataValidation>
    <dataValidation type="list" allowBlank="1" showInputMessage="1" showErrorMessage="1" sqref="I87:I91 I47:I58 I113:I115 I106:I111 I82:I85 I100:I104 I94:I98 I77:I80 I72:I75 I67:I70 I41:I45 I36:I39 I31:I34 I23:I29 I14:I21 I8:I12 I60:I64 I117:I120 I122:I125 I127:I128" xr:uid="{00000000-0002-0000-0300-000002000000}">
      <formula1>$Y$12:$Y$24</formula1>
    </dataValidation>
  </dataValidations>
  <hyperlinks>
    <hyperlink ref="C7:H7" r:id="rId1" location="basic-a" display="Basic A" xr:uid="{00000000-0004-0000-0300-000000000000}"/>
    <hyperlink ref="C13:H13" r:id="rId2" location="standard-a" display="Standard A" xr:uid="{00000000-0004-0000-0300-000001000000}"/>
    <hyperlink ref="C22:H22" r:id="rId3" location="av2-series" display="Av2-series" xr:uid="{00000000-0004-0000-0300-000002000000}"/>
    <hyperlink ref="C30:H30" r:id="rId4" location="d-series" display="D-series" xr:uid="{00000000-0004-0000-0300-000003000000}"/>
    <hyperlink ref="C35:H35" r:id="rId5" location="ds-series" display="DS-series" xr:uid="{00000000-0004-0000-0300-000004000000}"/>
    <hyperlink ref="C40:H40" r:id="rId6" location="dv2-series" display="Dv2-series" xr:uid="{00000000-0004-0000-0300-000005000000}"/>
    <hyperlink ref="C46:H46" r:id="rId7" location="dsv2-series" display="DSv2-series" xr:uid="{00000000-0004-0000-0300-000006000000}"/>
    <hyperlink ref="C66:H66" r:id="rId8" location="mo-d" display="D-series" xr:uid="{00000000-0004-0000-0300-000007000000}"/>
    <hyperlink ref="C71:H71" r:id="rId9" location="mo-ds" display="DS-series" xr:uid="{00000000-0004-0000-0300-000008000000}"/>
    <hyperlink ref="C76:H76" r:id="rId10" location="mo-dv2" display="Dv2-series" xr:uid="{00000000-0004-0000-0300-000009000000}"/>
    <hyperlink ref="C81:H81" r:id="rId11" location="mo-dsv2" display="DSv2-series" xr:uid="{00000000-0004-0000-0300-00000A000000}"/>
    <hyperlink ref="C93:H93" r:id="rId12" location="f-series" display="F-series" xr:uid="{00000000-0004-0000-0300-00000B000000}"/>
    <hyperlink ref="C99:H99" r:id="rId13" location="fs-series" display="Fs-series" xr:uid="{00000000-0004-0000-0300-00000C000000}"/>
    <hyperlink ref="C105:H105" r:id="rId14" location="fsv2-series" display="Fsv2-series" xr:uid="{00000000-0004-0000-0300-00000D000000}"/>
    <hyperlink ref="C129" r:id="rId15" location="changes" display="Total number of VMs cannot exceed 670 (~30 VMs reserved for Infrastructure VMs) refer to 1901 release notes " xr:uid="{00000000-0004-0000-0300-00000E000000}"/>
    <hyperlink ref="C124:I124" r:id="rId16" location="nvv4" display="NVv4-Series (AMD Mi25)" xr:uid="{B484CEF9-1707-4717-B43C-2CD99CBF3D41}"/>
    <hyperlink ref="C116:I116" r:id="rId17" location="ncast4_v3" display="NCasT4_v3-Series" xr:uid="{72274C0E-250E-4DE1-BE1B-1675EA9B0739}"/>
    <hyperlink ref="C112:I112" r:id="rId18" location="ncv3" display="NCv3-Series" xr:uid="{DE3760A8-1A71-4FA1-90AF-F6A6D9AB1A4B}"/>
    <hyperlink ref="C129:J129" r:id="rId19" location="consideration-for-total-number-of-vms" display="Total number of VMs cannot exceed 669 (~31 VMs reserved for Infrastructure VMs)" xr:uid="{F673B389-193A-9D42-81A2-3F4B9D56E895}"/>
    <hyperlink ref="M11" r:id="rId20" location="azure-stack-hub-memory" xr:uid="{4C3BB016-D8AD-4AD8-9668-EA2F02C47D45}"/>
    <hyperlink ref="C121:I121" r:id="rId21" location="nc_a100-v4" display="NC_A100 v3-Series" xr:uid="{BD2F0954-67C4-40A3-B8B5-D4849AD3AFF5}"/>
  </hyperlinks>
  <pageMargins left="0.7" right="0.7" top="0.75" bottom="0.75" header="0.3" footer="0.3"/>
  <pageSetup orientation="portrait" r:id="rId22"/>
  <drawing r:id="rId23"/>
  <extLst>
    <ext xmlns:x14="http://schemas.microsoft.com/office/spreadsheetml/2009/9/main" uri="{CCE6A557-97BC-4b89-ADB6-D9C93CAAB3DF}">
      <x14:dataValidations xmlns:xm="http://schemas.microsoft.com/office/excel/2006/main" count="29">
        <x14:dataValidation type="list" allowBlank="1" showInputMessage="1" showErrorMessage="1" xr:uid="{00000000-0002-0000-0300-000005000000}">
          <x14:formula1>
            <xm:f>TempStorageTables!$J$2:$J$6</xm:f>
          </x14:formula1>
          <xm:sqref>H27 H8 H14 H24</xm:sqref>
        </x14:dataValidation>
        <x14:dataValidation type="list" allowBlank="1" showInputMessage="1" showErrorMessage="1" xr:uid="{00000000-0002-0000-0300-000006000000}">
          <x14:formula1>
            <xm:f>TempStorageTables!$Q$2:$Q$8</xm:f>
          </x14:formula1>
          <xm:sqref>H15 H9</xm:sqref>
        </x14:dataValidation>
        <x14:dataValidation type="list" allowBlank="1" showInputMessage="1" showErrorMessage="1" xr:uid="{00000000-0002-0000-0300-000007000000}">
          <x14:formula1>
            <xm:f>TempStorageTables!$V$2:$V$10</xm:f>
          </x14:formula1>
          <xm:sqref>H19 H10 H16</xm:sqref>
        </x14:dataValidation>
        <x14:dataValidation type="list" allowBlank="1" showInputMessage="1" showErrorMessage="1" xr:uid="{00000000-0002-0000-0300-000008000000}">
          <x14:formula1>
            <xm:f>TempStorageTables!$Z$2:$Z$16</xm:f>
          </x14:formula1>
          <xm:sqref>H20 H11 H17</xm:sqref>
        </x14:dataValidation>
        <x14:dataValidation type="list" allowBlank="1" showInputMessage="1" showErrorMessage="1" xr:uid="{00000000-0002-0000-0300-000009000000}">
          <x14:formula1>
            <xm:f>TempStorageTables!$AC$2:$AC$12</xm:f>
          </x14:formula1>
          <xm:sqref>H21 H18 H12</xm:sqref>
        </x14:dataValidation>
        <x14:dataValidation type="list" allowBlank="1" showInputMessage="1" showErrorMessage="1" xr:uid="{00000000-0002-0000-0300-00000A000000}">
          <x14:formula1>
            <xm:f>TempStorageTables!$R$2:$R$9</xm:f>
          </x14:formula1>
          <xm:sqref>H29 H26</xm:sqref>
        </x14:dataValidation>
        <x14:dataValidation type="list" allowBlank="1" showInputMessage="1" showErrorMessage="1" xr:uid="{00000000-0002-0000-0300-00000B000000}">
          <x14:formula1>
            <xm:f>TempStorageTables!$S$2:$S$11</xm:f>
          </x14:formula1>
          <xm:sqref>H77 H32 H42 H67</xm:sqref>
        </x14:dataValidation>
        <x14:dataValidation type="list" allowBlank="1" showInputMessage="1" showErrorMessage="1" xr:uid="{00000000-0002-0000-0300-00000C000000}">
          <x14:formula1>
            <xm:f>TempStorageTables!$W$2:$W$9</xm:f>
          </x14:formula1>
          <xm:sqref>H78 H43 H33 H68</xm:sqref>
        </x14:dataValidation>
        <x14:dataValidation type="list" allowBlank="1" showInputMessage="1" showErrorMessage="1" xr:uid="{00000000-0002-0000-0300-00000D000000}">
          <x14:formula1>
            <xm:f>TempStorageTables!$AA$2:$AA$11</xm:f>
          </x14:formula1>
          <xm:sqref>H79 H44 H34 H69</xm:sqref>
        </x14:dataValidation>
        <x14:dataValidation type="list" allowBlank="1" showInputMessage="1" showErrorMessage="1" xr:uid="{00000000-0002-0000-0300-00000E000000}">
          <x14:formula1>
            <xm:f>TempStorageTables!$E$2:$E$8</xm:f>
          </x14:formula1>
          <xm:sqref>H47 H36</xm:sqref>
        </x14:dataValidation>
        <x14:dataValidation type="list" allowBlank="1" showInputMessage="1" showErrorMessage="1" xr:uid="{00000000-0002-0000-0300-00000F000000}">
          <x14:formula1>
            <xm:f>TempStorageTables!$H$2:$H$8</xm:f>
          </x14:formula1>
          <xm:sqref>H48 H37</xm:sqref>
        </x14:dataValidation>
        <x14:dataValidation type="list" allowBlank="1" showInputMessage="1" showErrorMessage="1" xr:uid="{00000000-0002-0000-0300-000010000000}">
          <x14:formula1>
            <xm:f>TempStorageTables!$AD$2:$AD$9</xm:f>
          </x14:formula1>
          <xm:sqref>H80 H45 H70</xm:sqref>
        </x14:dataValidation>
        <x14:dataValidation type="list" allowBlank="1" showInputMessage="1" showErrorMessage="1" xr:uid="{00000000-0002-0000-0300-000011000000}">
          <x14:formula1>
            <xm:f>TempStorageTables!$T$2:$T$8</xm:f>
          </x14:formula1>
          <xm:sqref>H84 H74 H51:H58</xm:sqref>
        </x14:dataValidation>
        <x14:dataValidation type="list" allowBlank="1" showInputMessage="1" showErrorMessage="1" xr:uid="{00000000-0002-0000-0300-000012000000}">
          <x14:formula1>
            <xm:f>TempStorageTables!$X$2:$X$8</xm:f>
          </x14:formula1>
          <xm:sqref>H75 H85</xm:sqref>
        </x14:dataValidation>
        <x14:dataValidation type="list" allowBlank="1" showInputMessage="1" showErrorMessage="1" xr:uid="{00000000-0002-0000-0300-000013000000}">
          <x14:formula1>
            <xm:f>TempStorageTables!$I$2:$I$9</xm:f>
          </x14:formula1>
          <xm:sqref>H106 H94 H102</xm:sqref>
        </x14:dataValidation>
        <x14:dataValidation type="list" allowBlank="1" showInputMessage="1" showErrorMessage="1" xr:uid="{00000000-0002-0000-0300-000014000000}">
          <x14:formula1>
            <xm:f>TempStorageTables!$P$2:$P$9</xm:f>
          </x14:formula1>
          <xm:sqref>H108 H96 H104</xm:sqref>
        </x14:dataValidation>
        <x14:dataValidation type="list" allowBlank="1" showInputMessage="1" showErrorMessage="1" xr:uid="{00000000-0002-0000-0300-000015000000}">
          <x14:formula1>
            <xm:f>TempStorageTables!$Y$2:$Y$9</xm:f>
          </x14:formula1>
          <xm:sqref>H98 H110</xm:sqref>
        </x14:dataValidation>
        <x14:dataValidation type="list" allowBlank="1" showInputMessage="1" showErrorMessage="1" xr:uid="{00000000-0002-0000-0300-000016000000}">
          <x14:formula1>
            <xm:f>TempStorageTables!$U$2:$U$9</xm:f>
          </x14:formula1>
          <xm:sqref>H97 H109</xm:sqref>
        </x14:dataValidation>
        <x14:dataValidation type="list" allowBlank="1" showInputMessage="1" showErrorMessage="1" xr:uid="{00000000-0002-0000-0300-000017000000}">
          <x14:formula1>
            <xm:f>TempStorageTables!$M$2:$M$9</xm:f>
          </x14:formula1>
          <xm:sqref>H28 H25</xm:sqref>
        </x14:dataValidation>
        <x14:dataValidation type="list" allowBlank="1" showInputMessage="1" showErrorMessage="1" xr:uid="{00000000-0002-0000-0300-000018000000}">
          <x14:formula1>
            <xm:f>TempStorageTables!$N$2:$N$11</xm:f>
          </x14:formula1>
          <xm:sqref>H41 H31</xm:sqref>
        </x14:dataValidation>
        <x14:dataValidation type="list" allowBlank="1" showInputMessage="1" showErrorMessage="1" xr:uid="{00000000-0002-0000-0300-000019000000}">
          <x14:formula1>
            <xm:f>TempStorageTables!$K$2:$K$8</xm:f>
          </x14:formula1>
          <xm:sqref>H82 H38 H49 H72</xm:sqref>
        </x14:dataValidation>
        <x14:dataValidation type="list" allowBlank="1" showInputMessage="1" showErrorMessage="1" xr:uid="{00000000-0002-0000-0300-00001A000000}">
          <x14:formula1>
            <xm:f>TempStorageTables!$O$2:$O$8</xm:f>
          </x14:formula1>
          <xm:sqref>H83 H50 H39 H73</xm:sqref>
        </x14:dataValidation>
        <x14:dataValidation type="list" allowBlank="1" showInputMessage="1" showErrorMessage="1" xr:uid="{00000000-0002-0000-0300-00001B000000}">
          <x14:formula1>
            <xm:f>TempStorageTables!$L$2:$L$9</xm:f>
          </x14:formula1>
          <xm:sqref>H107 H95 H103</xm:sqref>
        </x14:dataValidation>
        <x14:dataValidation type="list" allowBlank="1" showInputMessage="1" showErrorMessage="1" xr:uid="{00000000-0002-0000-0300-00001C000000}">
          <x14:formula1>
            <xm:f>Reference_AzureStackInputs!$A$2:$A$14</xm:f>
          </x14:formula1>
          <xm:sqref>N4:S4</xm:sqref>
        </x14:dataValidation>
        <x14:dataValidation type="list" allowBlank="1" showInputMessage="1" showErrorMessage="1" xr:uid="{00000000-0002-0000-0300-00001D000000}">
          <x14:formula1>
            <xm:f>SKUsRecommendationPage!$D$47:$D$52</xm:f>
          </x14:formula1>
          <xm:sqref>U5</xm:sqref>
        </x14:dataValidation>
        <x14:dataValidation type="list" allowBlank="1" showInputMessage="1" showErrorMessage="1" xr:uid="{00000000-0002-0000-0300-00001E000000}">
          <x14:formula1>
            <xm:f>TempStorageTables!$G$2:$G$11</xm:f>
          </x14:formula1>
          <xm:sqref>H23</xm:sqref>
        </x14:dataValidation>
        <x14:dataValidation type="list" allowBlank="1" showInputMessage="1" showErrorMessage="1" xr:uid="{00000000-0002-0000-0300-00001F000000}">
          <x14:formula1>
            <xm:f>TempStorageTables!$D$2:$D$5</xm:f>
          </x14:formula1>
          <xm:sqref>H100</xm:sqref>
        </x14:dataValidation>
        <x14:dataValidation type="list" allowBlank="1" showInputMessage="1" showErrorMessage="1" xr:uid="{00000000-0002-0000-0300-000020000000}">
          <x14:formula1>
            <xm:f>TempStorageTables!$F$2:$F$9</xm:f>
          </x14:formula1>
          <xm:sqref>H101</xm:sqref>
        </x14:dataValidation>
        <x14:dataValidation type="list" allowBlank="1" showInputMessage="1" showErrorMessage="1" xr:uid="{00000000-0002-0000-0300-000021000000}">
          <x14:formula1>
            <xm:f>TempStorageTables!$AB$2:$AB$9</xm:f>
          </x14:formula1>
          <xm:sqref>H111 H113:H115 H117:H120 H122:H125 H127:H128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B1:AE378"/>
  <sheetViews>
    <sheetView zoomScale="65" zoomScaleNormal="65" workbookViewId="0"/>
  </sheetViews>
  <sheetFormatPr defaultColWidth="8.85546875" defaultRowHeight="15" x14ac:dyDescent="0.25"/>
  <cols>
    <col min="1" max="1" width="6.28515625" style="213" customWidth="1"/>
    <col min="2" max="2" width="5.7109375" style="213" hidden="1" customWidth="1"/>
    <col min="3" max="3" width="32.140625" style="213" customWidth="1"/>
    <col min="4" max="4" width="21.5703125" style="213" customWidth="1"/>
    <col min="5" max="5" width="15" style="213" customWidth="1"/>
    <col min="6" max="6" width="15.85546875" style="213" customWidth="1"/>
    <col min="7" max="7" width="16.140625" style="213" customWidth="1"/>
    <col min="8" max="8" width="16" style="213" customWidth="1"/>
    <col min="9" max="9" width="26.42578125" style="213" customWidth="1"/>
    <col min="10" max="10" width="3.85546875" style="213" customWidth="1"/>
    <col min="11" max="11" width="39.42578125" style="213" customWidth="1"/>
    <col min="12" max="13" width="20" style="213" customWidth="1"/>
    <col min="14" max="15" width="19.85546875" style="213" customWidth="1"/>
    <col min="16" max="16" width="20.140625" style="213" customWidth="1"/>
    <col min="17" max="17" width="22.5703125" style="213" customWidth="1"/>
    <col min="18" max="18" width="12.5703125" style="213" customWidth="1"/>
    <col min="19" max="19" width="25" style="213" customWidth="1"/>
    <col min="20" max="20" width="13.7109375" style="213" customWidth="1"/>
    <col min="21" max="21" width="7.140625" style="213" customWidth="1"/>
    <col min="22" max="22" width="15.140625" style="213" customWidth="1"/>
    <col min="23" max="23" width="11.140625" style="213" bestFit="1" customWidth="1"/>
    <col min="24" max="24" width="5.42578125" style="213" bestFit="1" customWidth="1"/>
    <col min="25" max="25" width="12.85546875" style="213" bestFit="1" customWidth="1"/>
    <col min="26" max="26" width="12.140625" style="213" customWidth="1"/>
    <col min="27" max="27" width="10.140625" style="213" bestFit="1" customWidth="1"/>
    <col min="28" max="28" width="11.85546875" style="213" bestFit="1" customWidth="1"/>
    <col min="29" max="31" width="8.85546875" style="213"/>
    <col min="32" max="32" width="14.5703125" style="213" bestFit="1" customWidth="1"/>
    <col min="33" max="16384" width="8.85546875" style="213"/>
  </cols>
  <sheetData>
    <row r="1" spans="2:23" ht="19.5" thickBot="1" x14ac:dyDescent="0.35">
      <c r="O1" s="401"/>
      <c r="P1" s="401"/>
      <c r="Q1" s="401"/>
    </row>
    <row r="2" spans="2:23" ht="16.5" customHeight="1" thickBot="1" x14ac:dyDescent="0.35">
      <c r="H2" s="402"/>
      <c r="L2" s="224" t="s">
        <v>132</v>
      </c>
      <c r="M2" s="527" t="s">
        <v>133</v>
      </c>
      <c r="N2" s="224" t="s">
        <v>134</v>
      </c>
      <c r="O2" s="527" t="s">
        <v>135</v>
      </c>
      <c r="P2" s="224" t="s">
        <v>136</v>
      </c>
      <c r="Q2" s="224" t="s">
        <v>137</v>
      </c>
      <c r="R2" s="357"/>
      <c r="S2" s="609" t="s">
        <v>703</v>
      </c>
      <c r="T2" s="610"/>
      <c r="U2" s="611"/>
    </row>
    <row r="3" spans="2:23" ht="19.5" thickBot="1" x14ac:dyDescent="0.35">
      <c r="F3" s="401"/>
      <c r="G3" s="401"/>
      <c r="H3" s="401"/>
      <c r="I3" s="401"/>
      <c r="J3" s="401"/>
      <c r="K3" s="528" t="s">
        <v>138</v>
      </c>
      <c r="L3" s="529" t="str">
        <f>DefinedSolutionSKUs!$C$3</f>
        <v>Example 1</v>
      </c>
      <c r="M3" s="530" t="str">
        <f>DefinedSolutionSKUs!$D$3</f>
        <v>Example 2</v>
      </c>
      <c r="N3" s="529" t="str">
        <f>DefinedSolutionSKUs!$E$3</f>
        <v>Example 3</v>
      </c>
      <c r="O3" s="530" t="str">
        <f>DefinedSolutionSKUs!$F$3</f>
        <v>Example 4</v>
      </c>
      <c r="P3" s="529" t="str">
        <f>DefinedSolutionSKUs!$G$3</f>
        <v>Example 5</v>
      </c>
      <c r="Q3" s="535" t="str">
        <f>DefinedSolutionSKUs!$H$3</f>
        <v>Example 6</v>
      </c>
      <c r="R3" s="357"/>
      <c r="S3" s="690" t="s">
        <v>139</v>
      </c>
      <c r="T3" s="691"/>
      <c r="U3" s="692"/>
    </row>
    <row r="4" spans="2:23" ht="16.5" thickBot="1" x14ac:dyDescent="0.3">
      <c r="D4" s="403" t="s">
        <v>724</v>
      </c>
      <c r="E4" s="403" t="s">
        <v>725</v>
      </c>
      <c r="F4" s="403" t="s">
        <v>726</v>
      </c>
      <c r="G4" s="403" t="s">
        <v>727</v>
      </c>
      <c r="H4" s="403" t="s">
        <v>728</v>
      </c>
      <c r="I4" s="403" t="s">
        <v>729</v>
      </c>
      <c r="K4" s="532" t="s">
        <v>705</v>
      </c>
      <c r="L4" s="226">
        <v>4</v>
      </c>
      <c r="M4" s="226">
        <v>4</v>
      </c>
      <c r="N4" s="226">
        <v>8</v>
      </c>
      <c r="O4" s="226">
        <v>16</v>
      </c>
      <c r="P4" s="226">
        <v>4</v>
      </c>
      <c r="Q4" s="228">
        <v>16</v>
      </c>
      <c r="R4" s="363"/>
      <c r="S4" s="619"/>
      <c r="T4" s="617"/>
      <c r="U4" s="618"/>
    </row>
    <row r="5" spans="2:23" ht="19.5" thickBot="1" x14ac:dyDescent="0.3">
      <c r="C5" s="404" t="s">
        <v>713</v>
      </c>
      <c r="D5" s="403" t="s">
        <v>340</v>
      </c>
      <c r="E5" s="405" t="s">
        <v>341</v>
      </c>
      <c r="F5" s="406" t="s">
        <v>341</v>
      </c>
      <c r="G5" s="407" t="s">
        <v>341</v>
      </c>
      <c r="H5" s="408" t="s">
        <v>588</v>
      </c>
      <c r="I5" s="525" t="s">
        <v>733</v>
      </c>
      <c r="J5" s="409"/>
      <c r="K5" s="533" t="s">
        <v>142</v>
      </c>
      <c r="L5" s="368">
        <f>Sku_1_Tenant_Total_Cores</f>
        <v>53.099999999999994</v>
      </c>
      <c r="M5" s="368">
        <f>Sku_2_Tenant_Total_Cores</f>
        <v>53.099999999999994</v>
      </c>
      <c r="N5" s="368">
        <f>Sku_3_Tenant_Total_Cores</f>
        <v>142.69999999999999</v>
      </c>
      <c r="O5" s="368">
        <f>Sku_4_Tenant_Total_Cores</f>
        <v>424.3</v>
      </c>
      <c r="P5" s="368">
        <f>Sku_5_Tenant_Total_Cores</f>
        <v>104.3</v>
      </c>
      <c r="Q5" s="536">
        <f>Sku_6_Tenant_Total_Cores</f>
        <v>1294.7</v>
      </c>
      <c r="R5" s="363"/>
      <c r="S5" s="696" t="s">
        <v>44</v>
      </c>
      <c r="T5" s="697"/>
      <c r="U5" s="698"/>
    </row>
    <row r="6" spans="2:23" ht="16.5" customHeight="1" thickBot="1" x14ac:dyDescent="0.3">
      <c r="C6" s="410" t="s">
        <v>714</v>
      </c>
      <c r="D6" s="411" t="s">
        <v>343</v>
      </c>
      <c r="E6" s="411" t="s">
        <v>344</v>
      </c>
      <c r="F6" s="411" t="s">
        <v>345</v>
      </c>
      <c r="G6" s="411" t="s">
        <v>343</v>
      </c>
      <c r="H6" s="411" t="s">
        <v>345</v>
      </c>
      <c r="I6" s="526" t="s">
        <v>88</v>
      </c>
      <c r="J6" s="412"/>
      <c r="K6" s="533" t="s">
        <v>152</v>
      </c>
      <c r="L6" s="501">
        <f>Sku_1_Tenant_Memory_for_VMs</f>
        <v>348.79999999999995</v>
      </c>
      <c r="M6" s="368">
        <f>Sku_2_Tenant_Memory_for_VMs</f>
        <v>1001.5999999999999</v>
      </c>
      <c r="N6" s="368">
        <f>Sku_3_Tenant_Memory_for_VMs</f>
        <v>2670.4</v>
      </c>
      <c r="O6" s="368">
        <f>Sku_4_Tenant_Memory_for_VMs</f>
        <v>6008</v>
      </c>
      <c r="P6" s="368">
        <f>Sku_5_Tenant_Memory_for_VMs</f>
        <v>1654.4</v>
      </c>
      <c r="Q6" s="536" cm="1">
        <f t="array" ref="Q6">Sku_6_Tenant_Memory_for_VMs</f>
        <v>19064</v>
      </c>
      <c r="R6" s="363"/>
    </row>
    <row r="7" spans="2:23" ht="16.5" thickBot="1" x14ac:dyDescent="0.3">
      <c r="C7" s="413" t="s">
        <v>715</v>
      </c>
      <c r="D7" s="414">
        <v>0</v>
      </c>
      <c r="E7" s="414">
        <v>0</v>
      </c>
      <c r="F7" s="415">
        <v>0</v>
      </c>
      <c r="G7" s="414">
        <v>0</v>
      </c>
      <c r="H7" s="414">
        <v>0</v>
      </c>
      <c r="I7" s="414">
        <v>1</v>
      </c>
      <c r="J7" s="412"/>
      <c r="K7" s="533" t="s">
        <v>154</v>
      </c>
      <c r="L7" s="368">
        <f>Sku_1_Tenant_Temp_Disk_Value</f>
        <v>3.3954468866189327</v>
      </c>
      <c r="M7" s="368">
        <f>Sku_2_Tenant_Temp_Disk_Value</f>
        <v>5.0931703299283981</v>
      </c>
      <c r="N7" s="368">
        <f>Sku_3_Tenant_Temp_Disk_Value</f>
        <v>6.5192580223083496</v>
      </c>
      <c r="O7" s="368">
        <f>Sku_4_Tenant_Temp_Disk_Value</f>
        <v>29.103830456733704</v>
      </c>
      <c r="P7" s="368">
        <f>Sku_5_Tenant_Temp_Disk_Value</f>
        <v>8.7311491370201111</v>
      </c>
      <c r="Q7" s="536" cm="1">
        <f t="array" ref="Q7">Sku_6_Tenant_Temp_Disk_Value</f>
        <v>85.681676864624023</v>
      </c>
      <c r="R7" s="416"/>
    </row>
    <row r="8" spans="2:23" ht="16.5" thickBot="1" x14ac:dyDescent="0.3">
      <c r="C8" s="417" t="s">
        <v>153</v>
      </c>
      <c r="D8" s="418"/>
      <c r="E8" s="419"/>
      <c r="F8" s="418"/>
      <c r="G8" s="420"/>
      <c r="H8" s="418"/>
      <c r="I8" s="421"/>
      <c r="K8" s="533" t="s">
        <v>158</v>
      </c>
      <c r="L8" s="368">
        <f>Sku_1_Tenant_Total_Storage</f>
        <v>27.141053229570389</v>
      </c>
      <c r="M8" s="368">
        <f>Sku_2_Tenant_Total_Storage</f>
        <v>42.420564219355583</v>
      </c>
      <c r="N8" s="368">
        <f>Sku_3_Tenant_Total_Storage</f>
        <v>55.255353450775146</v>
      </c>
      <c r="O8" s="368">
        <f>Sku_4_Tenant_Total_Storage</f>
        <v>258.51650536060333</v>
      </c>
      <c r="P8" s="368">
        <f>Sku_5_Tenant_Total_Storage</f>
        <v>75.162373483181</v>
      </c>
      <c r="Q8" s="536" cm="1">
        <f t="array" ref="Q8">Sku_6_Tenant_Total_Storage</f>
        <v>767.7171230316161</v>
      </c>
    </row>
    <row r="9" spans="2:23" ht="16.5" thickBot="1" x14ac:dyDescent="0.3">
      <c r="C9" s="422" t="s">
        <v>155</v>
      </c>
      <c r="D9" s="502">
        <f>VLOOKUP($C9,Ref_WorkloadSolutionSizing_RPs!$A$12:$K$132,IF(AND(EXACT(D$5,"Event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9" s="502">
        <f>VLOOKUP($C9,Ref_WorkloadSolutionSizing_RPs!$A$12:$K$132,IF(AND(EXACT(E$5,"Event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23</v>
      </c>
      <c r="F9" s="502">
        <f>VLOOKUP($C9,Ref_WorkloadSolutionSizing_RPs!$A$12:$K$132,IF(AND(EXACT(F$5,"Event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9" s="502">
        <f>VLOOKUP($C9,Ref_WorkloadSolutionSizing_RPs!$A$12:$K$132,IF(AND(EXACT(G$5,"Event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9" s="502">
        <f>VLOOKUP($C9,Ref_WorkloadSolutionSizing_RPs!$A$12:$K$132,IF(AND(EXACT(H$5,"Event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9" s="423">
        <v>0</v>
      </c>
      <c r="K9" s="534" t="s">
        <v>161</v>
      </c>
      <c r="L9" s="537">
        <f>Sku1_Tenant_Total_GPU</f>
        <v>0</v>
      </c>
      <c r="M9" s="537">
        <f>Sku2_Tenant_Total_GPU</f>
        <v>0</v>
      </c>
      <c r="N9" s="537">
        <f>Sku3_Tenant_Total_GPU</f>
        <v>0</v>
      </c>
      <c r="O9" s="537">
        <f>Sku4_Tenant_Total_GPU</f>
        <v>0</v>
      </c>
      <c r="P9" s="537">
        <f>Sku5_Tenant_Total_GPU</f>
        <v>0</v>
      </c>
      <c r="Q9" s="538">
        <f>Sku6_Tenant_Total_GPU</f>
        <v>32</v>
      </c>
    </row>
    <row r="10" spans="2:23" ht="16.5" thickBot="1" x14ac:dyDescent="0.3">
      <c r="C10" s="422" t="s">
        <v>159</v>
      </c>
      <c r="D10" s="502">
        <f>VLOOKUP($C10,Ref_WorkloadSolutionSizing_RPs!$A$12:$K$132,IF(AND(EXACT(D$5,"Event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0" s="502">
        <f>VLOOKUP($C10,Ref_WorkloadSolutionSizing_RPs!$A$12:$K$132,IF(AND(EXACT(E$5,"Event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0" s="502">
        <f>VLOOKUP($C10,Ref_WorkloadSolutionSizing_RPs!$A$12:$K$132,IF(AND(EXACT(F$5,"Event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0" s="502">
        <f>VLOOKUP($C10,Ref_WorkloadSolutionSizing_RPs!$A$12:$K$132,IF(AND(EXACT(G$5,"Event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0" s="502">
        <f>VLOOKUP($C10,Ref_WorkloadSolutionSizing_RPs!$A$12:$K$132,IF(AND(EXACT(H$5,"Event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0" s="423">
        <v>0</v>
      </c>
      <c r="S10" s="680" t="s">
        <v>734</v>
      </c>
      <c r="T10" s="681"/>
      <c r="U10" s="682"/>
    </row>
    <row r="11" spans="2:23" ht="16.5" thickBot="1" x14ac:dyDescent="0.3">
      <c r="C11" s="422" t="s">
        <v>162</v>
      </c>
      <c r="D11" s="502">
        <f>VLOOKUP($C11,Ref_WorkloadSolutionSizing_RPs!$A$12:$K$132,IF(AND(EXACT(D$5,"Event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1" s="502">
        <f>VLOOKUP($C11,Ref_WorkloadSolutionSizing_RPs!$A$12:$K$132,IF(AND(EXACT(E$5,"Event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1" s="502">
        <f>VLOOKUP($C11,Ref_WorkloadSolutionSizing_RPs!$A$12:$K$132,IF(AND(EXACT(F$5,"Event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1" s="502">
        <f>VLOOKUP($C11,Ref_WorkloadSolutionSizing_RPs!$A$12:$K$132,IF(AND(EXACT(G$5,"Event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1" s="502">
        <f>VLOOKUP($C11,Ref_WorkloadSolutionSizing_RPs!$A$12:$K$132,IF(AND(EXACT(H$5,"Event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1" s="423">
        <v>0</v>
      </c>
      <c r="K11" s="699"/>
      <c r="L11" s="699"/>
      <c r="M11" s="699"/>
      <c r="N11" s="699"/>
      <c r="O11" s="699"/>
      <c r="P11" s="699"/>
      <c r="S11" s="683"/>
      <c r="T11" s="684"/>
      <c r="U11" s="685"/>
    </row>
    <row r="12" spans="2:23" ht="16.5" customHeight="1" thickBot="1" x14ac:dyDescent="0.3">
      <c r="B12" s="285"/>
      <c r="C12" s="422" t="s">
        <v>164</v>
      </c>
      <c r="D12" s="502">
        <f>VLOOKUP($C12,Ref_WorkloadSolutionSizing_RPs!$A$12:$K$132,IF(AND(EXACT(D$5,"Event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2" s="502">
        <f>VLOOKUP($C12,Ref_WorkloadSolutionSizing_RPs!$A$12:$K$132,IF(AND(EXACT(E$5,"Event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2" s="502">
        <f>VLOOKUP($C12,Ref_WorkloadSolutionSizing_RPs!$A$12:$K$132,IF(AND(EXACT(F$5,"Event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2" s="502">
        <f>VLOOKUP($C12,Ref_WorkloadSolutionSizing_RPs!$A$12:$K$132,IF(AND(EXACT(G$5,"Event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2" s="502">
        <f>VLOOKUP($C12,Ref_WorkloadSolutionSizing_RPs!$A$12:$K$132,IF(AND(EXACT(H$5,"Event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2" s="423">
        <v>0</v>
      </c>
      <c r="K12" s="625" t="s">
        <v>166</v>
      </c>
      <c r="L12" s="625"/>
      <c r="M12" s="625"/>
      <c r="N12" s="625"/>
      <c r="O12" s="625"/>
      <c r="P12" s="625"/>
      <c r="Q12" s="625"/>
      <c r="S12" s="693">
        <v>4</v>
      </c>
      <c r="T12" s="694"/>
      <c r="U12" s="695"/>
    </row>
    <row r="13" spans="2:23" ht="16.5" thickBot="1" x14ac:dyDescent="0.3">
      <c r="B13" s="285"/>
      <c r="C13" s="422" t="s">
        <v>167</v>
      </c>
      <c r="D13" s="502">
        <f>VLOOKUP($C13,Ref_WorkloadSolutionSizing_RPs!$A$12:$K$132,IF(AND(EXACT(D$5,"Event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3" s="502">
        <f>VLOOKUP($C13,Ref_WorkloadSolutionSizing_RPs!$A$12:$K$132,IF(AND(EXACT(E$5,"Event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3" s="502">
        <f>VLOOKUP($C13,Ref_WorkloadSolutionSizing_RPs!$A$12:$K$132,IF(AND(EXACT(F$5,"Event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3" s="502">
        <f>VLOOKUP($C13,Ref_WorkloadSolutionSizing_RPs!$A$12:$K$132,IF(AND(EXACT(G$5,"Event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3" s="502">
        <f>VLOOKUP($C13,Ref_WorkloadSolutionSizing_RPs!$A$12:$K$132,IF(AND(EXACT(H$5,"Event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3" s="423"/>
      <c r="V13" s="409"/>
      <c r="W13" s="409"/>
    </row>
    <row r="14" spans="2:23" ht="16.5" customHeight="1" thickBot="1" x14ac:dyDescent="0.35">
      <c r="B14" s="285"/>
      <c r="C14" s="424" t="s">
        <v>168</v>
      </c>
      <c r="D14" s="418"/>
      <c r="E14" s="418"/>
      <c r="F14" s="418"/>
      <c r="G14" s="418"/>
      <c r="H14" s="418"/>
      <c r="I14" s="425"/>
      <c r="K14" s="426"/>
      <c r="R14" s="676" t="s">
        <v>747</v>
      </c>
      <c r="S14" s="676"/>
      <c r="T14" s="676"/>
      <c r="U14" s="676"/>
      <c r="V14" s="676"/>
      <c r="W14" s="409"/>
    </row>
    <row r="15" spans="2:23" ht="16.5" thickBot="1" x14ac:dyDescent="0.3">
      <c r="B15" s="285"/>
      <c r="C15" s="427" t="s">
        <v>169</v>
      </c>
      <c r="D15" s="503">
        <f>VLOOKUP($C15,Ref_WorkloadSolutionSizing_RPs!$A$12:$K$132,IF(AND(EXACT(D$5,"Event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5" s="503">
        <f>VLOOKUP($C15,Ref_WorkloadSolutionSizing_RPs!$A$12:$K$132,IF(AND(EXACT(E$5,"Event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5" s="503">
        <f>VLOOKUP($C15,Ref_WorkloadSolutionSizing_RPs!$A$12:$K$132,IF(AND(EXACT(F$5,"Event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5" s="503">
        <f>VLOOKUP($C15,Ref_WorkloadSolutionSizing_RPs!$A$12:$K$132,IF(AND(EXACT(G$5,"Event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5" s="503">
        <f>VLOOKUP($C15,Ref_WorkloadSolutionSizing_RPs!$A$12:$K$132,IF(AND(EXACT(H$5,"Event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5" s="423">
        <v>0</v>
      </c>
      <c r="R15" s="676"/>
      <c r="S15" s="676"/>
      <c r="T15" s="676"/>
      <c r="U15" s="676"/>
      <c r="V15" s="676"/>
    </row>
    <row r="16" spans="2:23" ht="16.5" thickBot="1" x14ac:dyDescent="0.3">
      <c r="B16" s="428"/>
      <c r="C16" s="427" t="s">
        <v>170</v>
      </c>
      <c r="D16" s="503">
        <f>VLOOKUP($C16,Ref_WorkloadSolutionSizing_RPs!$A$12:$K$132,IF(AND(EXACT(D$5,"Event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6" s="503">
        <f>VLOOKUP($C16,Ref_WorkloadSolutionSizing_RPs!$A$12:$K$132,IF(AND(EXACT(E$5,"Event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19</v>
      </c>
      <c r="F16" s="503">
        <f>VLOOKUP($C16,Ref_WorkloadSolutionSizing_RPs!$A$12:$K$132,IF(AND(EXACT(F$5,"Event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53</v>
      </c>
      <c r="G16" s="503">
        <f>VLOOKUP($C16,Ref_WorkloadSolutionSizing_RPs!$A$12:$K$132,IF(AND(EXACT(G$5,"Event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97</v>
      </c>
      <c r="H16" s="503">
        <f>VLOOKUP($C16,Ref_WorkloadSolutionSizing_RPs!$A$12:$K$132,IF(AND(EXACT(H$5,"Event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6" s="423">
        <v>0</v>
      </c>
    </row>
    <row r="17" spans="2:11" ht="16.5" thickBot="1" x14ac:dyDescent="0.3">
      <c r="B17" s="285"/>
      <c r="C17" s="427" t="s">
        <v>171</v>
      </c>
      <c r="D17" s="503">
        <f>VLOOKUP($C17,Ref_WorkloadSolutionSizing_RPs!$A$12:$K$132,IF(AND(EXACT(D$5,"Event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7" s="503">
        <f>VLOOKUP($C17,Ref_WorkloadSolutionSizing_RPs!$A$12:$K$132,IF(AND(EXACT(E$5,"Event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12</v>
      </c>
      <c r="F17" s="503">
        <f>VLOOKUP($C17,Ref_WorkloadSolutionSizing_RPs!$A$12:$K$132,IF(AND(EXACT(F$5,"Event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42</v>
      </c>
      <c r="G17" s="503">
        <f>VLOOKUP($C17,Ref_WorkloadSolutionSizing_RPs!$A$12:$K$132,IF(AND(EXACT(G$5,"Event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82</v>
      </c>
      <c r="H17" s="503">
        <f>VLOOKUP($C17,Ref_WorkloadSolutionSizing_RPs!$A$12:$K$132,IF(AND(EXACT(H$5,"Event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7" s="423">
        <v>0</v>
      </c>
    </row>
    <row r="18" spans="2:11" ht="16.5" thickBot="1" x14ac:dyDescent="0.3">
      <c r="B18" s="428"/>
      <c r="C18" s="427" t="s">
        <v>172</v>
      </c>
      <c r="D18" s="503">
        <f>VLOOKUP($C18,Ref_WorkloadSolutionSizing_RPs!$A$12:$K$132,IF(AND(EXACT(D$5,"Event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8" s="503">
        <f>VLOOKUP($C18,Ref_WorkloadSolutionSizing_RPs!$A$12:$K$132,IF(AND(EXACT(E$5,"Event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12</v>
      </c>
      <c r="F18" s="503">
        <f>VLOOKUP($C18,Ref_WorkloadSolutionSizing_RPs!$A$12:$K$132,IF(AND(EXACT(F$5,"Event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43</v>
      </c>
      <c r="G18" s="503">
        <f>VLOOKUP($C18,Ref_WorkloadSolutionSizing_RPs!$A$12:$K$132,IF(AND(EXACT(G$5,"Event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84</v>
      </c>
      <c r="H18" s="503">
        <f>VLOOKUP($C18,Ref_WorkloadSolutionSizing_RPs!$A$12:$K$132,IF(AND(EXACT(H$5,"Event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8" s="423">
        <v>0</v>
      </c>
    </row>
    <row r="19" spans="2:11" ht="16.5" thickBot="1" x14ac:dyDescent="0.3">
      <c r="B19" s="285"/>
      <c r="C19" s="427" t="s">
        <v>173</v>
      </c>
      <c r="D19" s="503">
        <f>VLOOKUP($C19,Ref_WorkloadSolutionSizing_RPs!$A$12:$K$132,IF(AND(EXACT(D$5,"Event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9" s="503">
        <f>VLOOKUP($C19,Ref_WorkloadSolutionSizing_RPs!$A$12:$K$132,IF(AND(EXACT(E$5,"Event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9" s="503">
        <f>VLOOKUP($C19,Ref_WorkloadSolutionSizing_RPs!$A$12:$K$132,IF(AND(EXACT(F$5,"Event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9" s="503">
        <f>VLOOKUP($C19,Ref_WorkloadSolutionSizing_RPs!$A$12:$K$132,IF(AND(EXACT(G$5,"Event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9" s="503">
        <f>VLOOKUP($C19,Ref_WorkloadSolutionSizing_RPs!$A$12:$K$132,IF(AND(EXACT(H$5,"Event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9" s="423">
        <v>0</v>
      </c>
    </row>
    <row r="20" spans="2:11" ht="16.5" thickBot="1" x14ac:dyDescent="0.3">
      <c r="B20" s="285"/>
      <c r="C20" s="427" t="s">
        <v>175</v>
      </c>
      <c r="D20" s="503">
        <f>VLOOKUP($C20,Ref_WorkloadSolutionSizing_RPs!$A$12:$K$132,IF(AND(EXACT(D$5,"Event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20" s="503">
        <f>VLOOKUP($C20,Ref_WorkloadSolutionSizing_RPs!$A$12:$K$132,IF(AND(EXACT(E$5,"Event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20" s="503">
        <f>VLOOKUP($C20,Ref_WorkloadSolutionSizing_RPs!$A$12:$K$132,IF(AND(EXACT(F$5,"Event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20" s="503">
        <f>VLOOKUP($C20,Ref_WorkloadSolutionSizing_RPs!$A$12:$K$132,IF(AND(EXACT(G$5,"Event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20" s="503">
        <f>VLOOKUP($C20,Ref_WorkloadSolutionSizing_RPs!$A$12:$K$132,IF(AND(EXACT(H$5,"Event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20" s="423">
        <v>0</v>
      </c>
    </row>
    <row r="21" spans="2:11" ht="16.5" thickBot="1" x14ac:dyDescent="0.3">
      <c r="B21" s="285"/>
      <c r="C21" s="427" t="s">
        <v>177</v>
      </c>
      <c r="D21" s="503">
        <f>VLOOKUP($C21,Ref_WorkloadSolutionSizing_RPs!$A$12:$K$132,IF(AND(EXACT(D$5,"Event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21" s="503">
        <f>VLOOKUP($C21,Ref_WorkloadSolutionSizing_RPs!$A$12:$K$132,IF(AND(EXACT(E$5,"Event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21" s="503">
        <f>VLOOKUP($C21,Ref_WorkloadSolutionSizing_RPs!$A$12:$K$132,IF(AND(EXACT(F$5,"Event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21" s="503">
        <f>VLOOKUP($C21,Ref_WorkloadSolutionSizing_RPs!$A$12:$K$132,IF(AND(EXACT(G$5,"Event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21" s="503">
        <f>VLOOKUP($C21,Ref_WorkloadSolutionSizing_RPs!$A$12:$K$132,IF(AND(EXACT(H$5,"Event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21" s="423">
        <v>0</v>
      </c>
    </row>
    <row r="22" spans="2:11" ht="16.5" thickBot="1" x14ac:dyDescent="0.3">
      <c r="B22" s="428"/>
      <c r="C22" s="427" t="s">
        <v>179</v>
      </c>
      <c r="D22" s="503">
        <f>VLOOKUP($C22,Ref_WorkloadSolutionSizing_RPs!$A$12:$K$132,IF(AND(EXACT(D$5,"Event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22" s="503">
        <f>VLOOKUP($C22,Ref_WorkloadSolutionSizing_RPs!$A$12:$K$132,IF(AND(EXACT(E$5,"Event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22" s="503">
        <f>VLOOKUP($C22,Ref_WorkloadSolutionSizing_RPs!$A$12:$K$132,IF(AND(EXACT(F$5,"Event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22" s="503">
        <f>VLOOKUP($C22,Ref_WorkloadSolutionSizing_RPs!$A$12:$K$132,IF(AND(EXACT(G$5,"Event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22" s="503">
        <f>VLOOKUP($C22,Ref_WorkloadSolutionSizing_RPs!$A$12:$K$132,IF(AND(EXACT(H$5,"Event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22" s="423">
        <v>0</v>
      </c>
    </row>
    <row r="23" spans="2:11" ht="16.5" thickBot="1" x14ac:dyDescent="0.3">
      <c r="B23" s="428"/>
      <c r="C23" s="424" t="s">
        <v>181</v>
      </c>
      <c r="D23" s="418"/>
      <c r="E23" s="418"/>
      <c r="F23" s="418"/>
      <c r="G23" s="418"/>
      <c r="H23" s="418"/>
      <c r="I23" s="425"/>
    </row>
    <row r="24" spans="2:11" ht="16.5" thickBot="1" x14ac:dyDescent="0.3">
      <c r="B24" s="428"/>
      <c r="C24" s="429" t="s">
        <v>183</v>
      </c>
      <c r="D24" s="503">
        <f>VLOOKUP($C24,Ref_WorkloadSolutionSizing_RPs!$A$12:$K$132,IF(AND(EXACT(D$5,"Event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24" s="503">
        <f>VLOOKUP($C24,Ref_WorkloadSolutionSizing_RPs!$A$12:$K$132,IF(AND(EXACT(E$5,"Event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24" s="503">
        <f>VLOOKUP($C24,Ref_WorkloadSolutionSizing_RPs!$A$12:$K$132,IF(AND(EXACT(F$5,"Event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24" s="503">
        <f>VLOOKUP($C24,Ref_WorkloadSolutionSizing_RPs!$A$12:$K$132,IF(AND(EXACT(G$5,"Event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24" s="503">
        <f>VLOOKUP($C24,Ref_WorkloadSolutionSizing_RPs!$A$12:$K$132,IF(AND(EXACT(H$5,"Event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24" s="423">
        <v>0</v>
      </c>
      <c r="J24" s="430"/>
      <c r="K24" s="431"/>
    </row>
    <row r="25" spans="2:11" ht="16.5" thickBot="1" x14ac:dyDescent="0.3">
      <c r="B25" s="428"/>
      <c r="C25" s="429" t="s">
        <v>185</v>
      </c>
      <c r="D25" s="503">
        <f>VLOOKUP($C25,Ref_WorkloadSolutionSizing_RPs!$A$12:$K$132,IF(AND(EXACT(D$5,"Event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25" s="503">
        <f>VLOOKUP($C25,Ref_WorkloadSolutionSizing_RPs!$A$12:$K$132,IF(AND(EXACT(E$5,"Event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25" s="503">
        <f>VLOOKUP($C25,Ref_WorkloadSolutionSizing_RPs!$A$12:$K$132,IF(AND(EXACT(F$5,"Event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25" s="503">
        <f>VLOOKUP($C25,Ref_WorkloadSolutionSizing_RPs!$A$12:$K$132,IF(AND(EXACT(G$5,"Event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25" s="503">
        <f>VLOOKUP($C25,Ref_WorkloadSolutionSizing_RPs!$A$12:$K$132,IF(AND(EXACT(H$5,"Event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25" s="423">
        <v>0</v>
      </c>
    </row>
    <row r="26" spans="2:11" ht="16.5" thickBot="1" x14ac:dyDescent="0.3">
      <c r="B26" s="428"/>
      <c r="C26" s="429" t="s">
        <v>187</v>
      </c>
      <c r="D26" s="503">
        <f>VLOOKUP($C26,Ref_WorkloadSolutionSizing_RPs!$A$12:$K$132,IF(AND(EXACT(D$5,"Event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26" s="503">
        <f>VLOOKUP($C26,Ref_WorkloadSolutionSizing_RPs!$A$12:$K$132,IF(AND(EXACT(E$5,"Event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26" s="503">
        <f>VLOOKUP($C26,Ref_WorkloadSolutionSizing_RPs!$A$12:$K$132,IF(AND(EXACT(F$5,"Event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26" s="503">
        <f>VLOOKUP($C26,Ref_WorkloadSolutionSizing_RPs!$A$12:$K$132,IF(AND(EXACT(G$5,"Event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26" s="503">
        <f>VLOOKUP($C26,Ref_WorkloadSolutionSizing_RPs!$A$12:$K$132,IF(AND(EXACT(H$5,"Event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26" s="423">
        <v>0</v>
      </c>
    </row>
    <row r="27" spans="2:11" ht="16.5" thickBot="1" x14ac:dyDescent="0.3">
      <c r="B27" s="428"/>
      <c r="C27" s="429" t="s">
        <v>189</v>
      </c>
      <c r="D27" s="503">
        <f>VLOOKUP($C27,Ref_WorkloadSolutionSizing_RPs!$A$12:$K$132,IF(AND(EXACT(D$5,"Event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27" s="503">
        <f>VLOOKUP($C27,Ref_WorkloadSolutionSizing_RPs!$A$12:$K$132,IF(AND(EXACT(E$5,"Event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27" s="503">
        <f>VLOOKUP($C27,Ref_WorkloadSolutionSizing_RPs!$A$12:$K$132,IF(AND(EXACT(F$5,"Event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27" s="503">
        <f>VLOOKUP($C27,Ref_WorkloadSolutionSizing_RPs!$A$12:$K$132,IF(AND(EXACT(G$5,"Event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27" s="503">
        <f>VLOOKUP($C27,Ref_WorkloadSolutionSizing_RPs!$A$12:$K$132,IF(AND(EXACT(H$5,"Event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27" s="423">
        <v>0</v>
      </c>
    </row>
    <row r="28" spans="2:11" ht="16.5" thickBot="1" x14ac:dyDescent="0.3">
      <c r="B28" s="428"/>
      <c r="C28" s="429" t="s">
        <v>191</v>
      </c>
      <c r="D28" s="503">
        <f>VLOOKUP($C28,Ref_WorkloadSolutionSizing_RPs!$A$12:$K$132,IF(AND(EXACT(D$5,"Event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28" s="503">
        <f>VLOOKUP($C28,Ref_WorkloadSolutionSizing_RPs!$A$12:$K$132,IF(AND(EXACT(E$5,"Event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28" s="503">
        <f>VLOOKUP($C28,Ref_WorkloadSolutionSizing_RPs!$A$12:$K$132,IF(AND(EXACT(F$5,"Event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28" s="503">
        <f>VLOOKUP($C28,Ref_WorkloadSolutionSizing_RPs!$A$12:$K$132,IF(AND(EXACT(G$5,"Event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28" s="503">
        <f>VLOOKUP($C28,Ref_WorkloadSolutionSizing_RPs!$A$12:$K$132,IF(AND(EXACT(H$5,"Event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28" s="423">
        <v>0</v>
      </c>
    </row>
    <row r="29" spans="2:11" ht="16.5" thickBot="1" x14ac:dyDescent="0.3">
      <c r="B29" s="428"/>
      <c r="C29" s="429" t="s">
        <v>193</v>
      </c>
      <c r="D29" s="503">
        <f>VLOOKUP($C29,Ref_WorkloadSolutionSizing_RPs!$A$12:$K$132,IF(AND(EXACT(D$5,"Event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29" s="503">
        <f>VLOOKUP($C29,Ref_WorkloadSolutionSizing_RPs!$A$12:$K$132,IF(AND(EXACT(E$5,"Event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29" s="503">
        <f>VLOOKUP($C29,Ref_WorkloadSolutionSizing_RPs!$A$12:$K$132,IF(AND(EXACT(F$5,"Event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29" s="503">
        <f>VLOOKUP($C29,Ref_WorkloadSolutionSizing_RPs!$A$12:$K$132,IF(AND(EXACT(G$5,"Event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29" s="503">
        <f>VLOOKUP($C29,Ref_WorkloadSolutionSizing_RPs!$A$12:$K$132,IF(AND(EXACT(H$5,"Event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29" s="423">
        <v>0</v>
      </c>
    </row>
    <row r="30" spans="2:11" ht="16.5" thickBot="1" x14ac:dyDescent="0.3">
      <c r="B30" s="428"/>
      <c r="C30" s="429" t="s">
        <v>195</v>
      </c>
      <c r="D30" s="503">
        <f>VLOOKUP($C30,Ref_WorkloadSolutionSizing_RPs!$A$12:$K$132,IF(AND(EXACT(D$5,"Event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30" s="503">
        <f>VLOOKUP($C30,Ref_WorkloadSolutionSizing_RPs!$A$12:$K$132,IF(AND(EXACT(E$5,"Event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30" s="503">
        <f>VLOOKUP($C30,Ref_WorkloadSolutionSizing_RPs!$A$12:$K$132,IF(AND(EXACT(F$5,"Event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30" s="503">
        <f>VLOOKUP($C30,Ref_WorkloadSolutionSizing_RPs!$A$12:$K$132,IF(AND(EXACT(G$5,"Event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30" s="503">
        <f>VLOOKUP($C30,Ref_WorkloadSolutionSizing_RPs!$A$12:$K$132,IF(AND(EXACT(H$5,"Event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30" s="423">
        <v>0</v>
      </c>
    </row>
    <row r="31" spans="2:11" ht="16.5" thickBot="1" x14ac:dyDescent="0.3">
      <c r="B31" s="428"/>
      <c r="C31" s="417" t="s">
        <v>197</v>
      </c>
      <c r="D31" s="418"/>
      <c r="E31" s="418"/>
      <c r="F31" s="418"/>
      <c r="G31" s="418"/>
      <c r="H31" s="418"/>
      <c r="I31" s="425"/>
    </row>
    <row r="32" spans="2:11" ht="16.5" thickBot="1" x14ac:dyDescent="0.3">
      <c r="B32" s="428"/>
      <c r="C32" s="422" t="s">
        <v>199</v>
      </c>
      <c r="D32" s="503">
        <f>VLOOKUP($C32,Ref_WorkloadSolutionSizing_RPs!$A$12:$K$132,IF(AND(EXACT(D$5,"Event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32" s="503">
        <f>VLOOKUP($C32,Ref_WorkloadSolutionSizing_RPs!$A$12:$K$132,IF(AND(EXACT(E$5,"Event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32" s="503">
        <f>VLOOKUP($C32,Ref_WorkloadSolutionSizing_RPs!$A$12:$K$132,IF(AND(EXACT(F$5,"Event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32" s="503">
        <f>VLOOKUP($C32,Ref_WorkloadSolutionSizing_RPs!$A$12:$K$132,IF(AND(EXACT(G$5,"Event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32" s="503">
        <f>VLOOKUP($C32,Ref_WorkloadSolutionSizing_RPs!$A$12:$K$132,IF(AND(EXACT(H$5,"Event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32" s="423">
        <v>0</v>
      </c>
    </row>
    <row r="33" spans="2:9" ht="16.5" thickBot="1" x14ac:dyDescent="0.3">
      <c r="B33" s="285"/>
      <c r="C33" s="422" t="s">
        <v>201</v>
      </c>
      <c r="D33" s="503">
        <f>VLOOKUP($C33,Ref_WorkloadSolutionSizing_RPs!$A$12:$K$132,IF(AND(EXACT(D$5,"Event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33" s="503">
        <f>VLOOKUP($C33,Ref_WorkloadSolutionSizing_RPs!$A$12:$K$132,IF(AND(EXACT(E$5,"Event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33" s="503">
        <f>VLOOKUP($C33,Ref_WorkloadSolutionSizing_RPs!$A$12:$K$132,IF(AND(EXACT(F$5,"Event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33" s="503">
        <f>VLOOKUP($C33,Ref_WorkloadSolutionSizing_RPs!$A$12:$K$132,IF(AND(EXACT(G$5,"Event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33" s="503">
        <f>VLOOKUP($C33,Ref_WorkloadSolutionSizing_RPs!$A$12:$K$132,IF(AND(EXACT(H$5,"Event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33" s="423">
        <v>0</v>
      </c>
    </row>
    <row r="34" spans="2:9" ht="16.5" thickBot="1" x14ac:dyDescent="0.3">
      <c r="B34" s="285"/>
      <c r="C34" s="422" t="s">
        <v>202</v>
      </c>
      <c r="D34" s="503">
        <f>VLOOKUP($C34,Ref_WorkloadSolutionSizing_RPs!$A$12:$K$132,IF(AND(EXACT(D$5,"Event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34" s="503">
        <f>VLOOKUP($C34,Ref_WorkloadSolutionSizing_RPs!$A$12:$K$132,IF(AND(EXACT(E$5,"Event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34" s="503">
        <f>VLOOKUP($C34,Ref_WorkloadSolutionSizing_RPs!$A$12:$K$132,IF(AND(EXACT(F$5,"Event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34" s="503">
        <f>VLOOKUP($C34,Ref_WorkloadSolutionSizing_RPs!$A$12:$K$132,IF(AND(EXACT(G$5,"Event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34" s="503">
        <f>VLOOKUP($C34,Ref_WorkloadSolutionSizing_RPs!$A$12:$K$132,IF(AND(EXACT(H$5,"Event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34" s="423">
        <v>0</v>
      </c>
    </row>
    <row r="35" spans="2:9" ht="16.5" thickBot="1" x14ac:dyDescent="0.3">
      <c r="B35" s="285"/>
      <c r="C35" s="422" t="s">
        <v>204</v>
      </c>
      <c r="D35" s="503">
        <f>VLOOKUP($C35,Ref_WorkloadSolutionSizing_RPs!$A$12:$K$132,IF(AND(EXACT(D$5,"Event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35" s="503">
        <f>VLOOKUP($C35,Ref_WorkloadSolutionSizing_RPs!$A$12:$K$132,IF(AND(EXACT(E$5,"Event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35" s="503">
        <f>VLOOKUP($C35,Ref_WorkloadSolutionSizing_RPs!$A$12:$K$132,IF(AND(EXACT(F$5,"Event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35" s="503">
        <f>VLOOKUP($C35,Ref_WorkloadSolutionSizing_RPs!$A$12:$K$132,IF(AND(EXACT(G$5,"Event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35" s="503">
        <f>VLOOKUP($C35,Ref_WorkloadSolutionSizing_RPs!$A$12:$K$132,IF(AND(EXACT(H$5,"Event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35" s="423">
        <v>0</v>
      </c>
    </row>
    <row r="36" spans="2:9" ht="16.5" thickBot="1" x14ac:dyDescent="0.3">
      <c r="B36" s="285"/>
      <c r="C36" s="417" t="s">
        <v>206</v>
      </c>
      <c r="D36" s="418"/>
      <c r="E36" s="418"/>
      <c r="F36" s="418"/>
      <c r="G36" s="418"/>
      <c r="H36" s="418"/>
      <c r="I36" s="425"/>
    </row>
    <row r="37" spans="2:9" ht="16.5" thickBot="1" x14ac:dyDescent="0.3">
      <c r="B37" s="285"/>
      <c r="C37" s="427" t="s">
        <v>208</v>
      </c>
      <c r="D37" s="503">
        <f>VLOOKUP($C37,Ref_WorkloadSolutionSizing_RPs!$A$12:$K$132,IF(AND(EXACT(D$5,"Event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37" s="503">
        <f>VLOOKUP($C37,Ref_WorkloadSolutionSizing_RPs!$A$12:$K$132,IF(AND(EXACT(E$5,"Event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37" s="503">
        <f>VLOOKUP($C37,Ref_WorkloadSolutionSizing_RPs!$A$12:$K$132,IF(AND(EXACT(F$5,"Event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37" s="503">
        <f>VLOOKUP($C37,Ref_WorkloadSolutionSizing_RPs!$A$12:$K$132,IF(AND(EXACT(G$5,"Event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37" s="503">
        <f>VLOOKUP($C37,Ref_WorkloadSolutionSizing_RPs!$A$12:$K$132,IF(AND(EXACT(H$5,"Event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37" s="423">
        <v>0</v>
      </c>
    </row>
    <row r="38" spans="2:9" ht="16.5" thickBot="1" x14ac:dyDescent="0.3">
      <c r="B38" s="428"/>
      <c r="C38" s="427" t="s">
        <v>209</v>
      </c>
      <c r="D38" s="503">
        <f>VLOOKUP($C38,Ref_WorkloadSolutionSizing_RPs!$A$12:$K$132,IF(AND(EXACT(D$5,"Event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38" s="503">
        <f>VLOOKUP($C38,Ref_WorkloadSolutionSizing_RPs!$A$12:$K$132,IF(AND(EXACT(E$5,"Event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38" s="503">
        <f>VLOOKUP($C38,Ref_WorkloadSolutionSizing_RPs!$A$12:$K$132,IF(AND(EXACT(F$5,"Event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38" s="503">
        <f>VLOOKUP($C38,Ref_WorkloadSolutionSizing_RPs!$A$12:$K$132,IF(AND(EXACT(G$5,"Event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38" s="503">
        <f>VLOOKUP($C38,Ref_WorkloadSolutionSizing_RPs!$A$12:$K$132,IF(AND(EXACT(H$5,"Event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38" s="423">
        <v>0</v>
      </c>
    </row>
    <row r="39" spans="2:9" ht="16.5" thickBot="1" x14ac:dyDescent="0.3">
      <c r="B39" s="285"/>
      <c r="C39" s="427" t="s">
        <v>210</v>
      </c>
      <c r="D39" s="503">
        <f>VLOOKUP($C39,Ref_WorkloadSolutionSizing_RPs!$A$12:$K$132,IF(AND(EXACT(D$5,"Event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39" s="503">
        <f>VLOOKUP($C39,Ref_WorkloadSolutionSizing_RPs!$A$12:$K$132,IF(AND(EXACT(E$5,"Event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39" s="503">
        <f>VLOOKUP($C39,Ref_WorkloadSolutionSizing_RPs!$A$12:$K$132,IF(AND(EXACT(F$5,"Event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39" s="503">
        <f>VLOOKUP($C39,Ref_WorkloadSolutionSizing_RPs!$A$12:$K$132,IF(AND(EXACT(G$5,"Event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39" s="503">
        <f>VLOOKUP($C39,Ref_WorkloadSolutionSizing_RPs!$A$12:$K$132,IF(AND(EXACT(H$5,"Event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39" s="423">
        <v>0</v>
      </c>
    </row>
    <row r="40" spans="2:9" ht="16.5" thickBot="1" x14ac:dyDescent="0.3">
      <c r="B40" s="285"/>
      <c r="C40" s="427" t="s">
        <v>211</v>
      </c>
      <c r="D40" s="503">
        <f>VLOOKUP($C40,Ref_WorkloadSolutionSizing_RPs!$A$12:$K$132,IF(AND(EXACT(D$5,"Event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40" s="503">
        <f>VLOOKUP($C40,Ref_WorkloadSolutionSizing_RPs!$A$12:$K$132,IF(AND(EXACT(E$5,"Event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40" s="503">
        <f>VLOOKUP($C40,Ref_WorkloadSolutionSizing_RPs!$A$12:$K$132,IF(AND(EXACT(F$5,"Event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40" s="503">
        <f>VLOOKUP($C40,Ref_WorkloadSolutionSizing_RPs!$A$12:$K$132,IF(AND(EXACT(G$5,"Event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40" s="503">
        <f>VLOOKUP($C40,Ref_WorkloadSolutionSizing_RPs!$A$12:$K$132,IF(AND(EXACT(H$5,"Event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40" s="423">
        <v>0</v>
      </c>
    </row>
    <row r="41" spans="2:9" ht="16.5" thickBot="1" x14ac:dyDescent="0.3">
      <c r="B41" s="285"/>
      <c r="C41" s="424" t="s">
        <v>212</v>
      </c>
      <c r="D41" s="418"/>
      <c r="E41" s="418"/>
      <c r="F41" s="418"/>
      <c r="G41" s="418"/>
      <c r="H41" s="418"/>
      <c r="I41" s="425"/>
    </row>
    <row r="42" spans="2:9" ht="16.5" thickBot="1" x14ac:dyDescent="0.3">
      <c r="B42" s="285"/>
      <c r="C42" s="429" t="s">
        <v>213</v>
      </c>
      <c r="D42" s="503">
        <f>VLOOKUP($C42,Ref_WorkloadSolutionSizing_RPs!$A$12:$K$132,IF(AND(EXACT(D$5,"Event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42" s="503">
        <f>VLOOKUP($C42,Ref_WorkloadSolutionSizing_RPs!$A$12:$K$132,IF(AND(EXACT(E$5,"Event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42" s="503">
        <f>VLOOKUP($C42,Ref_WorkloadSolutionSizing_RPs!$A$12:$K$132,IF(AND(EXACT(F$5,"Event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42" s="503">
        <f>VLOOKUP($C42,Ref_WorkloadSolutionSizing_RPs!$A$12:$K$132,IF(AND(EXACT(G$5,"Event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42" s="503">
        <f>VLOOKUP($C42,Ref_WorkloadSolutionSizing_RPs!$A$12:$K$132,IF(AND(EXACT(H$5,"Event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42" s="423">
        <v>0</v>
      </c>
    </row>
    <row r="43" spans="2:9" ht="16.5" thickBot="1" x14ac:dyDescent="0.3">
      <c r="B43" s="285"/>
      <c r="C43" s="429" t="s">
        <v>214</v>
      </c>
      <c r="D43" s="503">
        <f>VLOOKUP($C43,Ref_WorkloadSolutionSizing_RPs!$A$12:$K$132,IF(AND(EXACT(D$5,"Event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43" s="503">
        <f>VLOOKUP($C43,Ref_WorkloadSolutionSizing_RPs!$A$12:$K$132,IF(AND(EXACT(E$5,"Event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43" s="503">
        <f>VLOOKUP($C43,Ref_WorkloadSolutionSizing_RPs!$A$12:$K$132,IF(AND(EXACT(F$5,"Event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43" s="503">
        <f>VLOOKUP($C43,Ref_WorkloadSolutionSizing_RPs!$A$12:$K$132,IF(AND(EXACT(G$5,"Event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43" s="503">
        <f>VLOOKUP($C43,Ref_WorkloadSolutionSizing_RPs!$A$12:$K$132,IF(AND(EXACT(H$5,"Event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43" s="423">
        <v>0</v>
      </c>
    </row>
    <row r="44" spans="2:9" ht="16.5" thickBot="1" x14ac:dyDescent="0.3">
      <c r="B44" s="285"/>
      <c r="C44" s="429" t="s">
        <v>215</v>
      </c>
      <c r="D44" s="503">
        <f>VLOOKUP($C44,Ref_WorkloadSolutionSizing_RPs!$A$12:$K$132,IF(AND(EXACT(D$5,"Event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44" s="503">
        <f>VLOOKUP($C44,Ref_WorkloadSolutionSizing_RPs!$A$12:$K$132,IF(AND(EXACT(E$5,"Event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44" s="503">
        <f>VLOOKUP($C44,Ref_WorkloadSolutionSizing_RPs!$A$12:$K$132,IF(AND(EXACT(F$5,"Event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44" s="503">
        <f>VLOOKUP($C44,Ref_WorkloadSolutionSizing_RPs!$A$12:$K$132,IF(AND(EXACT(G$5,"Event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44" s="503">
        <f>VLOOKUP($C44,Ref_WorkloadSolutionSizing_RPs!$A$12:$K$132,IF(AND(EXACT(H$5,"Event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44" s="423">
        <v>0</v>
      </c>
    </row>
    <row r="45" spans="2:9" ht="16.5" thickBot="1" x14ac:dyDescent="0.3">
      <c r="B45" s="428"/>
      <c r="C45" s="429" t="s">
        <v>216</v>
      </c>
      <c r="D45" s="503">
        <f>VLOOKUP($C45,Ref_WorkloadSolutionSizing_RPs!$A$12:$K$132,IF(AND(EXACT(D$5,"Event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45" s="503">
        <f>VLOOKUP($C45,Ref_WorkloadSolutionSizing_RPs!$A$12:$K$132,IF(AND(EXACT(E$5,"Event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45" s="503">
        <f>VLOOKUP($C45,Ref_WorkloadSolutionSizing_RPs!$A$12:$K$132,IF(AND(EXACT(F$5,"Event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45" s="503">
        <f>VLOOKUP($C45,Ref_WorkloadSolutionSizing_RPs!$A$12:$K$132,IF(AND(EXACT(G$5,"Event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45" s="503">
        <f>VLOOKUP($C45,Ref_WorkloadSolutionSizing_RPs!$A$12:$K$132,IF(AND(EXACT(H$5,"Event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45" s="423">
        <v>0</v>
      </c>
    </row>
    <row r="46" spans="2:9" ht="16.5" thickBot="1" x14ac:dyDescent="0.3">
      <c r="C46" s="429" t="s">
        <v>217</v>
      </c>
      <c r="D46" s="503">
        <f>VLOOKUP($C46,Ref_WorkloadSolutionSizing_RPs!$A$12:$K$132,IF(AND(EXACT(D$5,"Event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46" s="503">
        <f>VLOOKUP($C46,Ref_WorkloadSolutionSizing_RPs!$A$12:$K$132,IF(AND(EXACT(E$5,"Event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46" s="503">
        <f>VLOOKUP($C46,Ref_WorkloadSolutionSizing_RPs!$A$12:$K$132,IF(AND(EXACT(F$5,"Event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46" s="503">
        <f>VLOOKUP($C46,Ref_WorkloadSolutionSizing_RPs!$A$12:$K$132,IF(AND(EXACT(G$5,"Event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46" s="503">
        <f>VLOOKUP($C46,Ref_WorkloadSolutionSizing_RPs!$A$12:$K$132,IF(AND(EXACT(H$5,"Event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46" s="423">
        <v>0</v>
      </c>
    </row>
    <row r="47" spans="2:9" ht="16.5" thickBot="1" x14ac:dyDescent="0.3">
      <c r="C47" s="424" t="s">
        <v>218</v>
      </c>
      <c r="D47" s="418"/>
      <c r="E47" s="418"/>
      <c r="F47" s="418"/>
      <c r="G47" s="418"/>
      <c r="H47" s="418"/>
      <c r="I47" s="425"/>
    </row>
    <row r="48" spans="2:9" ht="16.5" thickBot="1" x14ac:dyDescent="0.3">
      <c r="B48" s="428"/>
      <c r="C48" s="432" t="s">
        <v>219</v>
      </c>
      <c r="D48" s="503">
        <f>VLOOKUP($C48,Ref_WorkloadSolutionSizing_RPs!$A$12:$K$132,IF(AND(EXACT(D$5,"Event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1</v>
      </c>
      <c r="E48" s="503">
        <f>VLOOKUP($C48,Ref_WorkloadSolutionSizing_RPs!$A$12:$K$132,IF(AND(EXACT(E$5,"Event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2</v>
      </c>
      <c r="F48" s="503">
        <f>VLOOKUP($C48,Ref_WorkloadSolutionSizing_RPs!$A$12:$K$132,IF(AND(EXACT(F$5,"Event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2</v>
      </c>
      <c r="G48" s="503">
        <f>VLOOKUP($C48,Ref_WorkloadSolutionSizing_RPs!$A$12:$K$132,IF(AND(EXACT(G$5,"Event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2</v>
      </c>
      <c r="H48" s="503">
        <f>VLOOKUP($C48,Ref_WorkloadSolutionSizing_RPs!$A$12:$K$132,IF(AND(EXACT(H$5,"Event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48" s="423">
        <v>0</v>
      </c>
    </row>
    <row r="49" spans="2:9" ht="16.5" thickBot="1" x14ac:dyDescent="0.3">
      <c r="B49" s="285"/>
      <c r="C49" s="432" t="s">
        <v>220</v>
      </c>
      <c r="D49" s="503">
        <f>VLOOKUP($C49,Ref_WorkloadSolutionSizing_RPs!$A$12:$K$132,IF(AND(EXACT(D$5,"Event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49" s="503">
        <f>VLOOKUP($C49,Ref_WorkloadSolutionSizing_RPs!$A$12:$K$132,IF(AND(EXACT(E$5,"Event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4</v>
      </c>
      <c r="F49" s="503">
        <f>VLOOKUP($C49,Ref_WorkloadSolutionSizing_RPs!$A$12:$K$132,IF(AND(EXACT(F$5,"Event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4</v>
      </c>
      <c r="G49" s="503">
        <f>VLOOKUP($C49,Ref_WorkloadSolutionSizing_RPs!$A$12:$K$132,IF(AND(EXACT(G$5,"Event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4</v>
      </c>
      <c r="H49" s="503">
        <f>VLOOKUP($C49,Ref_WorkloadSolutionSizing_RPs!$A$12:$K$132,IF(AND(EXACT(H$5,"Event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49" s="423">
        <v>0</v>
      </c>
    </row>
    <row r="50" spans="2:9" ht="16.5" thickBot="1" x14ac:dyDescent="0.3">
      <c r="B50" s="285"/>
      <c r="C50" s="432" t="s">
        <v>221</v>
      </c>
      <c r="D50" s="503">
        <f>VLOOKUP($C50,Ref_WorkloadSolutionSizing_RPs!$A$12:$K$132,IF(AND(EXACT(D$5,"Event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50" s="503">
        <f>VLOOKUP($C50,Ref_WorkloadSolutionSizing_RPs!$A$12:$K$132,IF(AND(EXACT(E$5,"Event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50" s="503">
        <f>VLOOKUP($C50,Ref_WorkloadSolutionSizing_RPs!$A$12:$K$132,IF(AND(EXACT(F$5,"Event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50" s="503">
        <f>VLOOKUP($C50,Ref_WorkloadSolutionSizing_RPs!$A$12:$K$132,IF(AND(EXACT(G$5,"Event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50" s="503">
        <f>VLOOKUP($C50,Ref_WorkloadSolutionSizing_RPs!$A$12:$K$132,IF(AND(EXACT(H$5,"Event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50" s="423">
        <v>0</v>
      </c>
    </row>
    <row r="51" spans="2:9" ht="16.5" thickBot="1" x14ac:dyDescent="0.3">
      <c r="B51" s="428"/>
      <c r="C51" s="432" t="s">
        <v>222</v>
      </c>
      <c r="D51" s="503">
        <f>VLOOKUP($C51,Ref_WorkloadSolutionSizing_RPs!$A$12:$K$132,IF(AND(EXACT(D$5,"Event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51" s="503">
        <f>VLOOKUP($C51,Ref_WorkloadSolutionSizing_RPs!$A$12:$K$132,IF(AND(EXACT(E$5,"Event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51" s="503">
        <f>VLOOKUP($C51,Ref_WorkloadSolutionSizing_RPs!$A$12:$K$132,IF(AND(EXACT(F$5,"Event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51" s="503">
        <f>VLOOKUP($C51,Ref_WorkloadSolutionSizing_RPs!$A$12:$K$132,IF(AND(EXACT(G$5,"Event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51" s="503">
        <f>VLOOKUP($C51,Ref_WorkloadSolutionSizing_RPs!$A$12:$K$132,IF(AND(EXACT(H$5,"Event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51" s="433">
        <v>0</v>
      </c>
    </row>
    <row r="52" spans="2:9" ht="16.5" thickBot="1" x14ac:dyDescent="0.3">
      <c r="B52" s="285"/>
      <c r="C52" s="432" t="s">
        <v>223</v>
      </c>
      <c r="D52" s="503">
        <f>VLOOKUP($C52,Ref_WorkloadSolutionSizing_RPs!$A$12:$K$132,IF(AND(EXACT(D$5,"Event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52" s="503">
        <f>VLOOKUP($C52,Ref_WorkloadSolutionSizing_RPs!$A$12:$K$132,IF(AND(EXACT(E$5,"Event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52" s="503">
        <f>VLOOKUP($C52,Ref_WorkloadSolutionSizing_RPs!$A$12:$K$132,IF(AND(EXACT(F$5,"Event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52" s="503">
        <f>VLOOKUP($C52,Ref_WorkloadSolutionSizing_RPs!$A$12:$K$132,IF(AND(EXACT(G$5,"Event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52" s="503">
        <f>VLOOKUP($C52,Ref_WorkloadSolutionSizing_RPs!$A$12:$K$132,IF(AND(EXACT(H$5,"Event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52" s="434">
        <v>0</v>
      </c>
    </row>
    <row r="53" spans="2:9" ht="16.5" thickBot="1" x14ac:dyDescent="0.3">
      <c r="B53" s="285"/>
      <c r="C53" s="432" t="s">
        <v>224</v>
      </c>
      <c r="D53" s="503">
        <f>VLOOKUP($C53,Ref_WorkloadSolutionSizing_RPs!$A$12:$K$132,IF(AND(EXACT(D$5,"Event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53" s="503">
        <f>VLOOKUP($C53,Ref_WorkloadSolutionSizing_RPs!$A$12:$K$132,IF(AND(EXACT(E$5,"Event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53" s="503">
        <f>VLOOKUP($C53,Ref_WorkloadSolutionSizing_RPs!$A$12:$K$132,IF(AND(EXACT(F$5,"Event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53" s="503">
        <f>VLOOKUP($C53,Ref_WorkloadSolutionSizing_RPs!$A$12:$K$132,IF(AND(EXACT(G$5,"Event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53" s="503">
        <f>VLOOKUP($C53,Ref_WorkloadSolutionSizing_RPs!$A$12:$K$132,IF(AND(EXACT(H$5,"Event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53" s="434">
        <v>0</v>
      </c>
    </row>
    <row r="54" spans="2:9" ht="16.5" thickBot="1" x14ac:dyDescent="0.3">
      <c r="B54" s="285"/>
      <c r="C54" s="432" t="s">
        <v>225</v>
      </c>
      <c r="D54" s="503">
        <f>VLOOKUP($C54,Ref_WorkloadSolutionSizing_RPs!$A$12:$K$132,IF(AND(EXACT(D$5,"Event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54" s="503">
        <f>VLOOKUP($C54,Ref_WorkloadSolutionSizing_RPs!$A$12:$K$132,IF(AND(EXACT(E$5,"Event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54" s="503">
        <f>VLOOKUP($C54,Ref_WorkloadSolutionSizing_RPs!$A$12:$K$132,IF(AND(EXACT(F$5,"Event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54" s="503">
        <f>VLOOKUP($C54,Ref_WorkloadSolutionSizing_RPs!$A$12:$K$132,IF(AND(EXACT(G$5,"Event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54" s="503">
        <f>VLOOKUP($C54,Ref_WorkloadSolutionSizing_RPs!$A$12:$K$132,IF(AND(EXACT(H$5,"Event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54" s="434">
        <v>0</v>
      </c>
    </row>
    <row r="55" spans="2:9" ht="16.5" thickBot="1" x14ac:dyDescent="0.3">
      <c r="B55" s="285"/>
      <c r="C55" s="432" t="s">
        <v>226</v>
      </c>
      <c r="D55" s="503">
        <f>VLOOKUP($C55,Ref_WorkloadSolutionSizing_RPs!$A$12:$K$132,IF(AND(EXACT(D$5,"Event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55" s="503">
        <f>VLOOKUP($C55,Ref_WorkloadSolutionSizing_RPs!$A$12:$K$132,IF(AND(EXACT(E$5,"Event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55" s="503">
        <f>VLOOKUP($C55,Ref_WorkloadSolutionSizing_RPs!$A$12:$K$132,IF(AND(EXACT(F$5,"Event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55" s="503">
        <f>VLOOKUP($C55,Ref_WorkloadSolutionSizing_RPs!$A$12:$K$132,IF(AND(EXACT(G$5,"Event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55" s="503">
        <f>VLOOKUP($C55,Ref_WorkloadSolutionSizing_RPs!$A$12:$K$132,IF(AND(EXACT(H$5,"Event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55" s="434">
        <v>0</v>
      </c>
    </row>
    <row r="56" spans="2:9" ht="16.5" thickBot="1" x14ac:dyDescent="0.3">
      <c r="B56" s="285"/>
      <c r="C56" s="432" t="s">
        <v>227</v>
      </c>
      <c r="D56" s="503">
        <f>VLOOKUP($C56,Ref_WorkloadSolutionSizing_RPs!$A$12:$K$132,IF(AND(EXACT(D$5,"Event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56" s="503">
        <f>VLOOKUP($C56,Ref_WorkloadSolutionSizing_RPs!$A$12:$K$132,IF(AND(EXACT(E$5,"Event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56" s="503">
        <f>VLOOKUP($C56,Ref_WorkloadSolutionSizing_RPs!$A$12:$K$132,IF(AND(EXACT(F$5,"Event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56" s="503">
        <f>VLOOKUP($C56,Ref_WorkloadSolutionSizing_RPs!$A$12:$K$132,IF(AND(EXACT(G$5,"Event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56" s="503">
        <f>VLOOKUP($C56,Ref_WorkloadSolutionSizing_RPs!$A$12:$K$132,IF(AND(EXACT(H$5,"Event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56" s="434">
        <v>0</v>
      </c>
    </row>
    <row r="57" spans="2:9" ht="16.5" thickBot="1" x14ac:dyDescent="0.3">
      <c r="B57" s="285"/>
      <c r="C57" s="432" t="s">
        <v>228</v>
      </c>
      <c r="D57" s="503">
        <f>VLOOKUP($C57,Ref_WorkloadSolutionSizing_RPs!$A$12:$K$132,IF(AND(EXACT(D$5,"Event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57" s="503">
        <f>VLOOKUP($C57,Ref_WorkloadSolutionSizing_RPs!$A$12:$K$132,IF(AND(EXACT(E$5,"Event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57" s="503">
        <f>VLOOKUP($C57,Ref_WorkloadSolutionSizing_RPs!$A$12:$K$132,IF(AND(EXACT(F$5,"Event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57" s="503">
        <f>VLOOKUP($C57,Ref_WorkloadSolutionSizing_RPs!$A$12:$K$132,IF(AND(EXACT(G$5,"Event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57" s="503">
        <f>VLOOKUP($C57,Ref_WorkloadSolutionSizing_RPs!$A$12:$K$132,IF(AND(EXACT(H$5,"Event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57" s="434">
        <v>0</v>
      </c>
    </row>
    <row r="58" spans="2:9" ht="16.5" thickBot="1" x14ac:dyDescent="0.3">
      <c r="B58" s="285"/>
      <c r="C58" s="432" t="s">
        <v>229</v>
      </c>
      <c r="D58" s="503">
        <f>VLOOKUP($C58,Ref_WorkloadSolutionSizing_RPs!$A$12:$K$132,IF(AND(EXACT(D$5,"Event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58" s="503">
        <f>VLOOKUP($C58,Ref_WorkloadSolutionSizing_RPs!$A$12:$K$132,IF(AND(EXACT(E$5,"Event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58" s="503">
        <f>VLOOKUP($C58,Ref_WorkloadSolutionSizing_RPs!$A$12:$K$132,IF(AND(EXACT(F$5,"Event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58" s="503">
        <f>VLOOKUP($C58,Ref_WorkloadSolutionSizing_RPs!$A$12:$K$132,IF(AND(EXACT(G$5,"Event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58" s="503">
        <f>VLOOKUP($C58,Ref_WorkloadSolutionSizing_RPs!$A$12:$K$132,IF(AND(EXACT(H$5,"Event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58" s="434">
        <v>0</v>
      </c>
    </row>
    <row r="59" spans="2:9" ht="16.5" thickBot="1" x14ac:dyDescent="0.3">
      <c r="B59" s="285"/>
      <c r="C59" s="432" t="s">
        <v>230</v>
      </c>
      <c r="D59" s="503">
        <f>VLOOKUP($C59,Ref_WorkloadSolutionSizing_RPs!$A$12:$K$132,IF(AND(EXACT(D$5,"Event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59" s="503">
        <f>VLOOKUP($C59,Ref_WorkloadSolutionSizing_RPs!$A$12:$K$132,IF(AND(EXACT(E$5,"Event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59" s="503">
        <f>VLOOKUP($C59,Ref_WorkloadSolutionSizing_RPs!$A$12:$K$132,IF(AND(EXACT(F$5,"Event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59" s="503">
        <f>VLOOKUP($C59,Ref_WorkloadSolutionSizing_RPs!$A$12:$K$132,IF(AND(EXACT(G$5,"Event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59" s="503">
        <f>VLOOKUP($C59,Ref_WorkloadSolutionSizing_RPs!$A$12:$K$132,IF(AND(EXACT(H$5,"Event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59" s="434">
        <v>0</v>
      </c>
    </row>
    <row r="60" spans="2:9" ht="15.75" thickBot="1" x14ac:dyDescent="0.3">
      <c r="B60" s="285"/>
      <c r="C60" s="424" t="s">
        <v>231</v>
      </c>
      <c r="D60" s="418"/>
      <c r="E60" s="418"/>
      <c r="F60" s="418"/>
      <c r="G60" s="418"/>
      <c r="H60" s="418"/>
      <c r="I60" s="418"/>
    </row>
    <row r="61" spans="2:9" ht="16.5" thickBot="1" x14ac:dyDescent="0.3">
      <c r="B61" s="285"/>
      <c r="C61" s="432" t="s">
        <v>232</v>
      </c>
      <c r="D61" s="503">
        <f>VLOOKUP($C61,Ref_WorkloadSolutionSizing_RPs!$A$12:$K$132,IF(AND(EXACT(D$5,"Event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61" s="503">
        <f>VLOOKUP($C61,Ref_WorkloadSolutionSizing_RPs!$A$12:$K$132,IF(AND(EXACT(E$5,"Event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61" s="503">
        <f>VLOOKUP($C61,Ref_WorkloadSolutionSizing_RPs!$A$12:$K$132,IF(AND(EXACT(F$5,"Event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61" s="503">
        <f>VLOOKUP($C61,Ref_WorkloadSolutionSizing_RPs!$A$12:$K$132,IF(AND(EXACT(G$5,"Event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61" s="503">
        <f>VLOOKUP($C61,Ref_WorkloadSolutionSizing_RPs!$A$12:$K$132,IF(AND(EXACT(H$5,"Event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61" s="435">
        <v>0</v>
      </c>
    </row>
    <row r="62" spans="2:9" ht="16.5" thickBot="1" x14ac:dyDescent="0.3">
      <c r="B62" s="285"/>
      <c r="C62" s="432" t="s">
        <v>233</v>
      </c>
      <c r="D62" s="503">
        <f>VLOOKUP($C62,Ref_WorkloadSolutionSizing_RPs!$A$12:$K$132,IF(AND(EXACT(D$5,"Event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62" s="503">
        <f>VLOOKUP($C62,Ref_WorkloadSolutionSizing_RPs!$A$12:$K$132,IF(AND(EXACT(E$5,"Event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62" s="503">
        <f>VLOOKUP($C62,Ref_WorkloadSolutionSizing_RPs!$A$12:$K$132,IF(AND(EXACT(F$5,"Event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62" s="503">
        <f>VLOOKUP($C62,Ref_WorkloadSolutionSizing_RPs!$A$12:$K$132,IF(AND(EXACT(G$5,"Event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62" s="503">
        <f>VLOOKUP($C62,Ref_WorkloadSolutionSizing_RPs!$A$12:$K$132,IF(AND(EXACT(H$5,"Event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62" s="435">
        <v>0</v>
      </c>
    </row>
    <row r="63" spans="2:9" ht="16.5" thickBot="1" x14ac:dyDescent="0.3">
      <c r="B63" s="285"/>
      <c r="C63" s="432" t="s">
        <v>234</v>
      </c>
      <c r="D63" s="503">
        <f>VLOOKUP($C63,Ref_WorkloadSolutionSizing_RPs!$A$12:$K$132,IF(AND(EXACT(D$5,"Event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63" s="503">
        <f>VLOOKUP($C63,Ref_WorkloadSolutionSizing_RPs!$A$12:$K$132,IF(AND(EXACT(E$5,"Event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63" s="503">
        <f>VLOOKUP($C63,Ref_WorkloadSolutionSizing_RPs!$A$12:$K$132,IF(AND(EXACT(F$5,"Event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63" s="503">
        <f>VLOOKUP($C63,Ref_WorkloadSolutionSizing_RPs!$A$12:$K$132,IF(AND(EXACT(G$5,"Event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63" s="503">
        <f>VLOOKUP($C63,Ref_WorkloadSolutionSizing_RPs!$A$12:$K$132,IF(AND(EXACT(H$5,"Event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63" s="435">
        <v>0</v>
      </c>
    </row>
    <row r="64" spans="2:9" ht="16.5" thickBot="1" x14ac:dyDescent="0.3">
      <c r="B64" s="285"/>
      <c r="C64" s="432" t="s">
        <v>235</v>
      </c>
      <c r="D64" s="503">
        <f>VLOOKUP($C64,Ref_WorkloadSolutionSizing_RPs!$A$12:$K$132,IF(AND(EXACT(D$5,"Event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64" s="503">
        <f>VLOOKUP($C64,Ref_WorkloadSolutionSizing_RPs!$A$12:$K$132,IF(AND(EXACT(E$5,"Event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64" s="503">
        <f>VLOOKUP($C64,Ref_WorkloadSolutionSizing_RPs!$A$12:$K$132,IF(AND(EXACT(F$5,"Event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64" s="503">
        <f>VLOOKUP($C64,Ref_WorkloadSolutionSizing_RPs!$A$12:$K$132,IF(AND(EXACT(G$5,"Event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64" s="503">
        <f>VLOOKUP($C64,Ref_WorkloadSolutionSizing_RPs!$A$12:$K$132,IF(AND(EXACT(H$5,"Event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64" s="435">
        <v>0</v>
      </c>
    </row>
    <row r="65" spans="2:11" ht="16.5" thickBot="1" x14ac:dyDescent="0.3">
      <c r="B65" s="285"/>
      <c r="C65" s="432" t="s">
        <v>236</v>
      </c>
      <c r="D65" s="503">
        <f>VLOOKUP($C65,Ref_WorkloadSolutionSizing_RPs!$A$12:$K$132,IF(AND(EXACT(D$5,"Event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65" s="503">
        <f>VLOOKUP($C65,Ref_WorkloadSolutionSizing_RPs!$A$12:$K$132,IF(AND(EXACT(E$5,"Event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65" s="503">
        <f>VLOOKUP($C65,Ref_WorkloadSolutionSizing_RPs!$A$12:$K$132,IF(AND(EXACT(F$5,"Event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65" s="503">
        <f>VLOOKUP($C65,Ref_WorkloadSolutionSizing_RPs!$A$12:$K$132,IF(AND(EXACT(G$5,"Event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65" s="503">
        <f>VLOOKUP($C65,Ref_WorkloadSolutionSizing_RPs!$A$12:$K$132,IF(AND(EXACT(H$5,"Event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65" s="435">
        <v>0</v>
      </c>
    </row>
    <row r="66" spans="2:11" ht="19.5" thickBot="1" x14ac:dyDescent="0.3">
      <c r="B66" s="285"/>
      <c r="C66" s="686" t="s">
        <v>237</v>
      </c>
      <c r="D66" s="687"/>
      <c r="E66" s="687"/>
      <c r="F66" s="689"/>
      <c r="G66" s="689"/>
      <c r="H66" s="689"/>
      <c r="I66" s="688"/>
      <c r="J66" s="412"/>
    </row>
    <row r="67" spans="2:11" ht="19.5" thickBot="1" x14ac:dyDescent="0.3">
      <c r="B67" s="285"/>
      <c r="C67" s="424" t="s">
        <v>197</v>
      </c>
      <c r="D67" s="436"/>
      <c r="E67" s="436"/>
      <c r="F67" s="436"/>
      <c r="G67" s="436"/>
      <c r="H67" s="436"/>
      <c r="I67" s="437"/>
    </row>
    <row r="68" spans="2:11" ht="16.5" thickBot="1" x14ac:dyDescent="0.3">
      <c r="B68" s="285"/>
      <c r="C68" s="422" t="s">
        <v>238</v>
      </c>
      <c r="D68" s="503">
        <f>VLOOKUP($C68,Ref_WorkloadSolutionSizing_RPs!$A$12:$K$132,IF(AND(EXACT(D$5,"Event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68" s="503">
        <f>VLOOKUP($C68,Ref_WorkloadSolutionSizing_RPs!$A$12:$K$132,IF(AND(EXACT(E$5,"Event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68" s="503">
        <f>VLOOKUP($C68,Ref_WorkloadSolutionSizing_RPs!$A$12:$K$132,IF(AND(EXACT(F$5,"Event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68" s="503">
        <f>VLOOKUP($C68,Ref_WorkloadSolutionSizing_RPs!$A$12:$K$132,IF(AND(EXACT(G$5,"Event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68" s="503">
        <f>VLOOKUP($C68,Ref_WorkloadSolutionSizing_RPs!$A$12:$K$132,IF(AND(EXACT(H$5,"Event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68" s="438">
        <v>0</v>
      </c>
      <c r="K68" s="235"/>
    </row>
    <row r="69" spans="2:11" ht="16.5" thickBot="1" x14ac:dyDescent="0.3">
      <c r="B69" s="285"/>
      <c r="C69" s="422" t="s">
        <v>240</v>
      </c>
      <c r="D69" s="503">
        <f>VLOOKUP($C69,Ref_WorkloadSolutionSizing_RPs!$A$12:$K$132,IF(AND(EXACT(D$5,"Event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69" s="503">
        <f>VLOOKUP($C69,Ref_WorkloadSolutionSizing_RPs!$A$12:$K$132,IF(AND(EXACT(E$5,"Event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69" s="503">
        <f>VLOOKUP($C69,Ref_WorkloadSolutionSizing_RPs!$A$12:$K$132,IF(AND(EXACT(F$5,"Event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69" s="503">
        <f>VLOOKUP($C69,Ref_WorkloadSolutionSizing_RPs!$A$12:$K$132,IF(AND(EXACT(G$5,"Event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69" s="503">
        <f>VLOOKUP($C69,Ref_WorkloadSolutionSizing_RPs!$A$12:$K$132,IF(AND(EXACT(H$5,"Event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69" s="438">
        <v>0</v>
      </c>
      <c r="K69" s="252"/>
    </row>
    <row r="70" spans="2:11" ht="16.5" thickBot="1" x14ac:dyDescent="0.3">
      <c r="B70" s="285"/>
      <c r="C70" s="422" t="s">
        <v>242</v>
      </c>
      <c r="D70" s="503">
        <f>VLOOKUP($C70,Ref_WorkloadSolutionSizing_RPs!$A$12:$K$132,IF(AND(EXACT(D$5,"Event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70" s="503">
        <f>VLOOKUP($C70,Ref_WorkloadSolutionSizing_RPs!$A$12:$K$132,IF(AND(EXACT(E$5,"Event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70" s="503">
        <f>VLOOKUP($C70,Ref_WorkloadSolutionSizing_RPs!$A$12:$K$132,IF(AND(EXACT(F$5,"Event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70" s="503">
        <f>VLOOKUP($C70,Ref_WorkloadSolutionSizing_RPs!$A$12:$K$132,IF(AND(EXACT(G$5,"Event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70" s="503">
        <f>VLOOKUP($C70,Ref_WorkloadSolutionSizing_RPs!$A$12:$K$132,IF(AND(EXACT(H$5,"Event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70" s="438">
        <v>0</v>
      </c>
    </row>
    <row r="71" spans="2:11" ht="16.5" thickBot="1" x14ac:dyDescent="0.3">
      <c r="B71" s="428"/>
      <c r="C71" s="422" t="s">
        <v>244</v>
      </c>
      <c r="D71" s="503">
        <f>VLOOKUP($C71,Ref_WorkloadSolutionSizing_RPs!$A$12:$K$132,IF(AND(EXACT(D$5,"Event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71" s="503">
        <f>VLOOKUP($C71,Ref_WorkloadSolutionSizing_RPs!$A$12:$K$132,IF(AND(EXACT(E$5,"Event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71" s="503">
        <f>VLOOKUP($C71,Ref_WorkloadSolutionSizing_RPs!$A$12:$K$132,IF(AND(EXACT(F$5,"Event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71" s="503">
        <f>VLOOKUP($C71,Ref_WorkloadSolutionSizing_RPs!$A$12:$K$132,IF(AND(EXACT(G$5,"Event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71" s="503">
        <f>VLOOKUP($C71,Ref_WorkloadSolutionSizing_RPs!$A$12:$K$132,IF(AND(EXACT(H$5,"Event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71" s="438">
        <v>0</v>
      </c>
      <c r="K71" s="252"/>
    </row>
    <row r="72" spans="2:11" ht="16.5" thickBot="1" x14ac:dyDescent="0.3">
      <c r="B72" s="428"/>
      <c r="C72" s="417" t="s">
        <v>206</v>
      </c>
      <c r="D72" s="418"/>
      <c r="E72" s="418"/>
      <c r="F72" s="418"/>
      <c r="G72" s="418"/>
      <c r="H72" s="418"/>
      <c r="I72" s="439"/>
      <c r="K72" s="252"/>
    </row>
    <row r="73" spans="2:11" ht="16.5" thickBot="1" x14ac:dyDescent="0.3">
      <c r="B73" s="285"/>
      <c r="C73" s="427" t="s">
        <v>247</v>
      </c>
      <c r="D73" s="503">
        <f>VLOOKUP($C73,Ref_WorkloadSolutionSizing_RPs!$A$12:$K$132,IF(AND(EXACT(D$5,"Event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73" s="503">
        <f>VLOOKUP($C73,Ref_WorkloadSolutionSizing_RPs!$A$12:$K$132,IF(AND(EXACT(E$5,"Event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73" s="503">
        <f>VLOOKUP($C73,Ref_WorkloadSolutionSizing_RPs!$A$12:$K$132,IF(AND(EXACT(F$5,"Event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73" s="503">
        <f>VLOOKUP($C73,Ref_WorkloadSolutionSizing_RPs!$A$12:$K$132,IF(AND(EXACT(G$5,"Event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73" s="503">
        <f>VLOOKUP($C73,Ref_WorkloadSolutionSizing_RPs!$A$12:$K$132,IF(AND(EXACT(H$5,"Event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73" s="438">
        <v>0</v>
      </c>
      <c r="K73" s="252"/>
    </row>
    <row r="74" spans="2:11" ht="16.5" thickBot="1" x14ac:dyDescent="0.3">
      <c r="B74" s="285"/>
      <c r="C74" s="427" t="s">
        <v>251</v>
      </c>
      <c r="D74" s="503">
        <f>VLOOKUP($C74,Ref_WorkloadSolutionSizing_RPs!$A$12:$K$132,IF(AND(EXACT(D$5,"Event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74" s="503">
        <f>VLOOKUP($C74,Ref_WorkloadSolutionSizing_RPs!$A$12:$K$132,IF(AND(EXACT(E$5,"Event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74" s="503">
        <f>VLOOKUP($C74,Ref_WorkloadSolutionSizing_RPs!$A$12:$K$132,IF(AND(EXACT(F$5,"Event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74" s="503">
        <f>VLOOKUP($C74,Ref_WorkloadSolutionSizing_RPs!$A$12:$K$132,IF(AND(EXACT(G$5,"Event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74" s="503">
        <f>VLOOKUP($C74,Ref_WorkloadSolutionSizing_RPs!$A$12:$K$132,IF(AND(EXACT(H$5,"Event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74" s="438">
        <v>0</v>
      </c>
    </row>
    <row r="75" spans="2:11" ht="16.5" thickBot="1" x14ac:dyDescent="0.3">
      <c r="B75" s="285"/>
      <c r="C75" s="427" t="s">
        <v>253</v>
      </c>
      <c r="D75" s="503">
        <f>VLOOKUP($C75,Ref_WorkloadSolutionSizing_RPs!$A$12:$K$132,IF(AND(EXACT(D$5,"Event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75" s="503">
        <f>VLOOKUP($C75,Ref_WorkloadSolutionSizing_RPs!$A$12:$K$132,IF(AND(EXACT(E$5,"Event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75" s="503">
        <f>VLOOKUP($C75,Ref_WorkloadSolutionSizing_RPs!$A$12:$K$132,IF(AND(EXACT(F$5,"Event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75" s="503">
        <f>VLOOKUP($C75,Ref_WorkloadSolutionSizing_RPs!$A$12:$K$132,IF(AND(EXACT(G$5,"Event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75" s="503">
        <f>VLOOKUP($C75,Ref_WorkloadSolutionSizing_RPs!$A$12:$K$132,IF(AND(EXACT(H$5,"Event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75" s="438">
        <v>0</v>
      </c>
    </row>
    <row r="76" spans="2:11" ht="16.5" thickBot="1" x14ac:dyDescent="0.3">
      <c r="B76" s="285"/>
      <c r="C76" s="427" t="s">
        <v>255</v>
      </c>
      <c r="D76" s="503">
        <f>VLOOKUP($C76,Ref_WorkloadSolutionSizing_RPs!$A$12:$K$132,IF(AND(EXACT(D$5,"Event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76" s="503">
        <f>VLOOKUP($C76,Ref_WorkloadSolutionSizing_RPs!$A$12:$K$132,IF(AND(EXACT(E$5,"Event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76" s="503">
        <f>VLOOKUP($C76,Ref_WorkloadSolutionSizing_RPs!$A$12:$K$132,IF(AND(EXACT(F$5,"Event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76" s="503">
        <f>VLOOKUP($C76,Ref_WorkloadSolutionSizing_RPs!$A$12:$K$132,IF(AND(EXACT(G$5,"Event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76" s="503">
        <f>VLOOKUP($C76,Ref_WorkloadSolutionSizing_RPs!$A$12:$K$132,IF(AND(EXACT(H$5,"Event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76" s="438">
        <v>0</v>
      </c>
    </row>
    <row r="77" spans="2:11" ht="16.5" thickBot="1" x14ac:dyDescent="0.3">
      <c r="B77" s="285"/>
      <c r="C77" s="417" t="s">
        <v>212</v>
      </c>
      <c r="D77" s="418"/>
      <c r="E77" s="418"/>
      <c r="F77" s="418"/>
      <c r="G77" s="418"/>
      <c r="H77" s="418"/>
      <c r="I77" s="439"/>
    </row>
    <row r="78" spans="2:11" ht="16.5" thickBot="1" x14ac:dyDescent="0.3">
      <c r="B78" s="285"/>
      <c r="C78" s="429" t="s">
        <v>259</v>
      </c>
      <c r="D78" s="503">
        <f>VLOOKUP($C78,Ref_WorkloadSolutionSizing_RPs!$A$12:$K$132,IF(AND(EXACT(D$5,"Event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78" s="503">
        <f>VLOOKUP($C78,Ref_WorkloadSolutionSizing_RPs!$A$12:$K$132,IF(AND(EXACT(E$5,"Event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78" s="503">
        <f>VLOOKUP($C78,Ref_WorkloadSolutionSizing_RPs!$A$12:$K$132,IF(AND(EXACT(F$5,"Event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78" s="503">
        <f>VLOOKUP($C78,Ref_WorkloadSolutionSizing_RPs!$A$12:$K$132,IF(AND(EXACT(G$5,"Event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78" s="503">
        <f>VLOOKUP($C78,Ref_WorkloadSolutionSizing_RPs!$A$12:$K$132,IF(AND(EXACT(H$5,"Event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20</v>
      </c>
      <c r="I78" s="438">
        <v>0</v>
      </c>
    </row>
    <row r="79" spans="2:11" ht="16.5" thickBot="1" x14ac:dyDescent="0.3">
      <c r="B79" s="285"/>
      <c r="C79" s="429" t="s">
        <v>260</v>
      </c>
      <c r="D79" s="503">
        <f>VLOOKUP($C79,Ref_WorkloadSolutionSizing_RPs!$A$12:$K$132,IF(AND(EXACT(D$5,"Event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79" s="503">
        <f>VLOOKUP($C79,Ref_WorkloadSolutionSizing_RPs!$A$12:$K$132,IF(AND(EXACT(E$5,"Event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79" s="503">
        <f>VLOOKUP($C79,Ref_WorkloadSolutionSizing_RPs!$A$12:$K$132,IF(AND(EXACT(F$5,"Event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79" s="503">
        <f>VLOOKUP($C79,Ref_WorkloadSolutionSizing_RPs!$A$12:$K$132,IF(AND(EXACT(G$5,"Event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79" s="503">
        <f>VLOOKUP($C79,Ref_WorkloadSolutionSizing_RPs!$A$12:$K$132,IF(AND(EXACT(H$5,"Event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79" s="438">
        <v>0</v>
      </c>
    </row>
    <row r="80" spans="2:11" ht="16.5" thickBot="1" x14ac:dyDescent="0.3">
      <c r="B80" s="285"/>
      <c r="C80" s="429" t="s">
        <v>261</v>
      </c>
      <c r="D80" s="503">
        <f>VLOOKUP($C80,Ref_WorkloadSolutionSizing_RPs!$A$12:$K$132,IF(AND(EXACT(D$5,"Event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80" s="503">
        <f>VLOOKUP($C80,Ref_WorkloadSolutionSizing_RPs!$A$12:$K$132,IF(AND(EXACT(E$5,"Event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80" s="503">
        <f>VLOOKUP($C80,Ref_WorkloadSolutionSizing_RPs!$A$12:$K$132,IF(AND(EXACT(F$5,"Event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80" s="503">
        <f>VLOOKUP($C80,Ref_WorkloadSolutionSizing_RPs!$A$12:$K$132,IF(AND(EXACT(G$5,"Event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80" s="503">
        <f>VLOOKUP($C80,Ref_WorkloadSolutionSizing_RPs!$A$12:$K$132,IF(AND(EXACT(H$5,"Event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80" s="438">
        <v>0</v>
      </c>
    </row>
    <row r="81" spans="2:9" ht="16.5" thickBot="1" x14ac:dyDescent="0.3">
      <c r="B81" s="285"/>
      <c r="C81" s="429" t="s">
        <v>262</v>
      </c>
      <c r="D81" s="503">
        <f>VLOOKUP($C81,Ref_WorkloadSolutionSizing_RPs!$A$12:$K$132,IF(AND(EXACT(D$5,"Event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81" s="503">
        <f>VLOOKUP($C81,Ref_WorkloadSolutionSizing_RPs!$A$12:$K$132,IF(AND(EXACT(E$5,"Event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81" s="503">
        <f>VLOOKUP($C81,Ref_WorkloadSolutionSizing_RPs!$A$12:$K$132,IF(AND(EXACT(F$5,"Event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81" s="503">
        <f>VLOOKUP($C81,Ref_WorkloadSolutionSizing_RPs!$A$12:$K$132,IF(AND(EXACT(G$5,"Event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81" s="503">
        <f>VLOOKUP($C81,Ref_WorkloadSolutionSizing_RPs!$A$12:$K$132,IF(AND(EXACT(H$5,"Event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81" s="438">
        <v>0</v>
      </c>
    </row>
    <row r="82" spans="2:9" ht="16.5" thickBot="1" x14ac:dyDescent="0.3">
      <c r="B82" s="285"/>
      <c r="C82" s="424" t="s">
        <v>218</v>
      </c>
      <c r="D82" s="418"/>
      <c r="E82" s="418"/>
      <c r="F82" s="418"/>
      <c r="G82" s="418"/>
      <c r="H82" s="418"/>
      <c r="I82" s="439"/>
    </row>
    <row r="83" spans="2:9" ht="16.5" thickBot="1" x14ac:dyDescent="0.3">
      <c r="B83" s="285"/>
      <c r="C83" s="432" t="s">
        <v>263</v>
      </c>
      <c r="D83" s="503">
        <f>VLOOKUP($C83,Ref_WorkloadSolutionSizing_RPs!$A$12:$K$132,IF(AND(EXACT(D$5,"Event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83" s="503">
        <f>VLOOKUP($C83,Ref_WorkloadSolutionSizing_RPs!$A$12:$K$132,IF(AND(EXACT(E$5,"Event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83" s="503">
        <f>VLOOKUP($C83,Ref_WorkloadSolutionSizing_RPs!$A$12:$K$132,IF(AND(EXACT(F$5,"Event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83" s="503">
        <f>VLOOKUP($C83,Ref_WorkloadSolutionSizing_RPs!$A$12:$K$132,IF(AND(EXACT(G$5,"Event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83" s="503">
        <f>VLOOKUP($C83,Ref_WorkloadSolutionSizing_RPs!$A$12:$K$132,IF(AND(EXACT(H$5,"Event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83" s="438">
        <v>0</v>
      </c>
    </row>
    <row r="84" spans="2:9" ht="16.5" thickBot="1" x14ac:dyDescent="0.3">
      <c r="B84" s="428"/>
      <c r="C84" s="432" t="s">
        <v>264</v>
      </c>
      <c r="D84" s="503">
        <f>VLOOKUP($C84,Ref_WorkloadSolutionSizing_RPs!$A$12:$K$132,IF(AND(EXACT(D$5,"Event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84" s="503">
        <f>VLOOKUP($C84,Ref_WorkloadSolutionSizing_RPs!$A$12:$K$132,IF(AND(EXACT(E$5,"Event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84" s="503">
        <f>VLOOKUP($C84,Ref_WorkloadSolutionSizing_RPs!$A$12:$K$132,IF(AND(EXACT(F$5,"Event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84" s="503">
        <f>VLOOKUP($C84,Ref_WorkloadSolutionSizing_RPs!$A$12:$K$132,IF(AND(EXACT(G$5,"Event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84" s="503">
        <f>VLOOKUP($C84,Ref_WorkloadSolutionSizing_RPs!$A$12:$K$132,IF(AND(EXACT(H$5,"Event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84" s="438">
        <v>0</v>
      </c>
    </row>
    <row r="85" spans="2:9" ht="16.5" thickBot="1" x14ac:dyDescent="0.3">
      <c r="B85" s="285"/>
      <c r="C85" s="432" t="s">
        <v>265</v>
      </c>
      <c r="D85" s="503">
        <f>VLOOKUP($C85,Ref_WorkloadSolutionSizing_RPs!$A$12:$K$132,IF(AND(EXACT(D$5,"Event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85" s="503">
        <f>VLOOKUP($C85,Ref_WorkloadSolutionSizing_RPs!$A$12:$K$132,IF(AND(EXACT(E$5,"Event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85" s="503">
        <f>VLOOKUP($C85,Ref_WorkloadSolutionSizing_RPs!$A$12:$K$132,IF(AND(EXACT(F$5,"Event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85" s="503">
        <f>VLOOKUP($C85,Ref_WorkloadSolutionSizing_RPs!$A$12:$K$132,IF(AND(EXACT(G$5,"Event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85" s="503">
        <f>VLOOKUP($C85,Ref_WorkloadSolutionSizing_RPs!$A$12:$K$132,IF(AND(EXACT(H$5,"Event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85" s="438">
        <v>0</v>
      </c>
    </row>
    <row r="86" spans="2:9" ht="16.5" thickBot="1" x14ac:dyDescent="0.3">
      <c r="B86" s="285"/>
      <c r="C86" s="432" t="s">
        <v>266</v>
      </c>
      <c r="D86" s="503">
        <f>VLOOKUP($C86,Ref_WorkloadSolutionSizing_RPs!$A$12:$K$132,IF(AND(EXACT(D$5,"Event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86" s="503">
        <f>VLOOKUP($C86,Ref_WorkloadSolutionSizing_RPs!$A$12:$K$132,IF(AND(EXACT(E$5,"Event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86" s="503">
        <f>VLOOKUP($C86,Ref_WorkloadSolutionSizing_RPs!$A$12:$K$132,IF(AND(EXACT(F$5,"Event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86" s="503">
        <f>VLOOKUP($C86,Ref_WorkloadSolutionSizing_RPs!$A$12:$K$132,IF(AND(EXACT(G$5,"Event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86" s="503">
        <f>VLOOKUP($C86,Ref_WorkloadSolutionSizing_RPs!$A$12:$K$132,IF(AND(EXACT(H$5,"Event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86" s="289">
        <v>0</v>
      </c>
    </row>
    <row r="87" spans="2:9" ht="16.5" thickBot="1" x14ac:dyDescent="0.3">
      <c r="B87" s="285"/>
      <c r="C87" s="424" t="s">
        <v>346</v>
      </c>
      <c r="D87" s="418"/>
      <c r="E87" s="418"/>
      <c r="F87" s="418"/>
      <c r="G87" s="418"/>
      <c r="H87" s="418"/>
      <c r="I87" s="439"/>
    </row>
    <row r="88" spans="2:9" ht="16.5" thickBot="1" x14ac:dyDescent="0.3">
      <c r="B88" s="285"/>
      <c r="C88" s="422" t="s">
        <v>268</v>
      </c>
      <c r="D88" s="503">
        <f>VLOOKUP($C88,Ref_WorkloadSolutionSizing_RPs!$A$12:$K$132,IF(AND(EXACT(D$5,"Event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88" s="503">
        <f>VLOOKUP($C88,Ref_WorkloadSolutionSizing_RPs!$A$12:$K$132,IF(AND(EXACT(E$5,"Event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88" s="503">
        <f>VLOOKUP($C88,Ref_WorkloadSolutionSizing_RPs!$A$12:$K$132,IF(AND(EXACT(F$5,"Event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88" s="503">
        <f>VLOOKUP($C88,Ref_WorkloadSolutionSizing_RPs!$A$12:$K$132,IF(AND(EXACT(G$5,"Event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88" s="503">
        <f>VLOOKUP($C88,Ref_WorkloadSolutionSizing_RPs!$A$12:$K$132,IF(AND(EXACT(H$5,"Event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88" s="433">
        <v>0</v>
      </c>
    </row>
    <row r="89" spans="2:9" ht="16.5" thickBot="1" x14ac:dyDescent="0.3">
      <c r="B89" s="285"/>
      <c r="C89" s="422" t="s">
        <v>269</v>
      </c>
      <c r="D89" s="503">
        <f>VLOOKUP($C89,Ref_WorkloadSolutionSizing_RPs!$A$12:$K$132,IF(AND(EXACT(D$5,"Event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89" s="503">
        <f>VLOOKUP($C89,Ref_WorkloadSolutionSizing_RPs!$A$12:$K$132,IF(AND(EXACT(E$5,"Event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89" s="503">
        <f>VLOOKUP($C89,Ref_WorkloadSolutionSizing_RPs!$A$12:$K$132,IF(AND(EXACT(F$5,"Event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89" s="503">
        <f>VLOOKUP($C89,Ref_WorkloadSolutionSizing_RPs!$A$12:$K$132,IF(AND(EXACT(G$5,"Event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89" s="503">
        <f>VLOOKUP($C89,Ref_WorkloadSolutionSizing_RPs!$A$12:$K$132,IF(AND(EXACT(H$5,"Event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89" s="433">
        <v>0</v>
      </c>
    </row>
    <row r="90" spans="2:9" ht="16.5" thickBot="1" x14ac:dyDescent="0.3">
      <c r="B90" s="285"/>
      <c r="C90" s="422" t="s">
        <v>270</v>
      </c>
      <c r="D90" s="503">
        <f>VLOOKUP($C90,Ref_WorkloadSolutionSizing_RPs!$A$12:$K$132,IF(AND(EXACT(D$5,"Event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90" s="503">
        <f>VLOOKUP($C90,Ref_WorkloadSolutionSizing_RPs!$A$12:$K$132,IF(AND(EXACT(E$5,"Event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90" s="503">
        <f>VLOOKUP($C90,Ref_WorkloadSolutionSizing_RPs!$A$12:$K$132,IF(AND(EXACT(F$5,"Event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90" s="503">
        <f>VLOOKUP($C90,Ref_WorkloadSolutionSizing_RPs!$A$12:$K$132,IF(AND(EXACT(G$5,"Event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90" s="503">
        <f>VLOOKUP($C90,Ref_WorkloadSolutionSizing_RPs!$A$12:$K$132,IF(AND(EXACT(H$5,"Event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90" s="433">
        <v>0</v>
      </c>
    </row>
    <row r="91" spans="2:9" ht="16.5" thickBot="1" x14ac:dyDescent="0.3">
      <c r="B91" s="285"/>
      <c r="C91" s="422" t="s">
        <v>271</v>
      </c>
      <c r="D91" s="503">
        <f>VLOOKUP($C91,Ref_WorkloadSolutionSizing_RPs!$A$12:$K$132,IF(AND(EXACT(D$5,"Event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91" s="503">
        <f>VLOOKUP($C91,Ref_WorkloadSolutionSizing_RPs!$A$12:$K$132,IF(AND(EXACT(E$5,"Event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91" s="503">
        <f>VLOOKUP($C91,Ref_WorkloadSolutionSizing_RPs!$A$12:$K$132,IF(AND(EXACT(F$5,"Event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91" s="503">
        <f>VLOOKUP($C91,Ref_WorkloadSolutionSizing_RPs!$A$12:$K$132,IF(AND(EXACT(G$5,"Event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91" s="503">
        <f>VLOOKUP($C91,Ref_WorkloadSolutionSizing_RPs!$A$12:$K$132,IF(AND(EXACT(H$5,"Event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91" s="433">
        <v>0</v>
      </c>
    </row>
    <row r="92" spans="2:9" ht="16.5" thickBot="1" x14ac:dyDescent="0.3">
      <c r="B92" s="285"/>
      <c r="C92" s="422" t="s">
        <v>272</v>
      </c>
      <c r="D92" s="503">
        <f>VLOOKUP($C92,Ref_WorkloadSolutionSizing_RPs!$A$12:$K$132,IF(AND(EXACT(D$5,"Event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92" s="503">
        <f>VLOOKUP($C92,Ref_WorkloadSolutionSizing_RPs!$A$12:$K$132,IF(AND(EXACT(E$5,"Event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92" s="503">
        <f>VLOOKUP($C92,Ref_WorkloadSolutionSizing_RPs!$A$12:$K$132,IF(AND(EXACT(F$5,"Event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92" s="503">
        <f>VLOOKUP($C92,Ref_WorkloadSolutionSizing_RPs!$A$12:$K$132,IF(AND(EXACT(G$5,"Event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92" s="503">
        <f>VLOOKUP($C92,Ref_WorkloadSolutionSizing_RPs!$A$12:$K$132,IF(AND(EXACT(H$5,"Event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92" s="433">
        <v>0</v>
      </c>
    </row>
    <row r="93" spans="2:9" ht="19.5" thickBot="1" x14ac:dyDescent="0.3">
      <c r="B93" s="285"/>
      <c r="C93" s="686" t="s">
        <v>273</v>
      </c>
      <c r="D93" s="687"/>
      <c r="E93" s="687"/>
      <c r="F93" s="687"/>
      <c r="G93" s="687"/>
      <c r="H93" s="687"/>
      <c r="I93" s="688"/>
    </row>
    <row r="94" spans="2:9" ht="19.5" thickBot="1" x14ac:dyDescent="0.3">
      <c r="B94" s="285"/>
      <c r="C94" s="440" t="s">
        <v>274</v>
      </c>
      <c r="D94" s="436"/>
      <c r="E94" s="436"/>
      <c r="F94" s="436"/>
      <c r="G94" s="436"/>
      <c r="H94" s="436"/>
      <c r="I94" s="437"/>
    </row>
    <row r="95" spans="2:9" ht="16.5" thickBot="1" x14ac:dyDescent="0.3">
      <c r="B95" s="285"/>
      <c r="C95" s="422" t="s">
        <v>275</v>
      </c>
      <c r="D95" s="503">
        <f>VLOOKUP($C95,Ref_WorkloadSolutionSizing_RPs!$A$12:$K$132,IF(AND(EXACT(D$5,"Event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95" s="503">
        <f>VLOOKUP($C95,Ref_WorkloadSolutionSizing_RPs!$A$12:$K$132,IF(AND(EXACT(E$5,"Event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95" s="503">
        <f>VLOOKUP($C95,Ref_WorkloadSolutionSizing_RPs!$A$12:$K$132,IF(AND(EXACT(F$5,"Event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95" s="503">
        <f>VLOOKUP($C95,Ref_WorkloadSolutionSizing_RPs!$A$12:$K$132,IF(AND(EXACT(G$5,"Event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95" s="503">
        <f>VLOOKUP($C95,Ref_WorkloadSolutionSizing_RPs!$A$12:$K$132,IF(AND(EXACT(H$5,"Event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95" s="441">
        <v>0</v>
      </c>
    </row>
    <row r="96" spans="2:9" ht="16.5" thickBot="1" x14ac:dyDescent="0.3">
      <c r="B96" s="285"/>
      <c r="C96" s="422" t="s">
        <v>276</v>
      </c>
      <c r="D96" s="503">
        <f>VLOOKUP($C96,Ref_WorkloadSolutionSizing_RPs!$A$12:$K$132,IF(AND(EXACT(D$5,"Event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96" s="503">
        <f>VLOOKUP($C96,Ref_WorkloadSolutionSizing_RPs!$A$12:$K$132,IF(AND(EXACT(E$5,"Event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96" s="503">
        <f>VLOOKUP($C96,Ref_WorkloadSolutionSizing_RPs!$A$12:$K$132,IF(AND(EXACT(F$5,"Event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96" s="503">
        <f>VLOOKUP($C96,Ref_WorkloadSolutionSizing_RPs!$A$12:$K$132,IF(AND(EXACT(G$5,"Event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96" s="503">
        <f>VLOOKUP($C96,Ref_WorkloadSolutionSizing_RPs!$A$12:$K$132,IF(AND(EXACT(H$5,"Event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96" s="438">
        <v>0</v>
      </c>
    </row>
    <row r="97" spans="2:9" ht="16.5" thickBot="1" x14ac:dyDescent="0.3">
      <c r="B97" s="285"/>
      <c r="C97" s="422" t="s">
        <v>277</v>
      </c>
      <c r="D97" s="503">
        <f>VLOOKUP($C97,Ref_WorkloadSolutionSizing_RPs!$A$12:$K$132,IF(AND(EXACT(D$5,"Event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97" s="503">
        <f>VLOOKUP($C97,Ref_WorkloadSolutionSizing_RPs!$A$12:$K$132,IF(AND(EXACT(E$5,"Event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97" s="503">
        <f>VLOOKUP($C97,Ref_WorkloadSolutionSizing_RPs!$A$12:$K$132,IF(AND(EXACT(F$5,"Event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97" s="503">
        <f>VLOOKUP($C97,Ref_WorkloadSolutionSizing_RPs!$A$12:$K$132,IF(AND(EXACT(G$5,"Event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97" s="503">
        <f>VLOOKUP($C97,Ref_WorkloadSolutionSizing_RPs!$A$12:$K$132,IF(AND(EXACT(H$5,"Event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97" s="438">
        <v>0</v>
      </c>
    </row>
    <row r="98" spans="2:9" ht="16.5" thickBot="1" x14ac:dyDescent="0.3">
      <c r="B98" s="285"/>
      <c r="C98" s="422" t="s">
        <v>278</v>
      </c>
      <c r="D98" s="503">
        <f>VLOOKUP($C98,Ref_WorkloadSolutionSizing_RPs!$A$12:$K$132,IF(AND(EXACT(D$5,"Event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98" s="503">
        <f>VLOOKUP($C98,Ref_WorkloadSolutionSizing_RPs!$A$12:$K$132,IF(AND(EXACT(E$5,"Event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98" s="503">
        <f>VLOOKUP($C98,Ref_WorkloadSolutionSizing_RPs!$A$12:$K$132,IF(AND(EXACT(F$5,"Event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98" s="503">
        <f>VLOOKUP($C98,Ref_WorkloadSolutionSizing_RPs!$A$12:$K$132,IF(AND(EXACT(G$5,"Event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98" s="503">
        <f>VLOOKUP($C98,Ref_WorkloadSolutionSizing_RPs!$A$12:$K$132,IF(AND(EXACT(H$5,"Event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98" s="438">
        <v>0</v>
      </c>
    </row>
    <row r="99" spans="2:9" ht="16.5" thickBot="1" x14ac:dyDescent="0.3">
      <c r="B99" s="285"/>
      <c r="C99" s="422" t="s">
        <v>279</v>
      </c>
      <c r="D99" s="503">
        <f>VLOOKUP($C99,Ref_WorkloadSolutionSizing_RPs!$A$12:$K$132,IF(AND(EXACT(D$5,"Event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99" s="503">
        <f>VLOOKUP($C99,Ref_WorkloadSolutionSizing_RPs!$A$12:$K$132,IF(AND(EXACT(E$5,"Event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99" s="503">
        <f>VLOOKUP($C99,Ref_WorkloadSolutionSizing_RPs!$A$12:$K$132,IF(AND(EXACT(F$5,"Event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99" s="503">
        <f>VLOOKUP($C99,Ref_WorkloadSolutionSizing_RPs!$A$12:$K$132,IF(AND(EXACT(G$5,"Event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99" s="503">
        <f>VLOOKUP($C99,Ref_WorkloadSolutionSizing_RPs!$A$12:$K$132,IF(AND(EXACT(H$5,"Event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99" s="438">
        <v>0</v>
      </c>
    </row>
    <row r="100" spans="2:9" ht="15.75" thickBot="1" x14ac:dyDescent="0.3">
      <c r="B100" s="285"/>
      <c r="C100" s="424" t="s">
        <v>280</v>
      </c>
      <c r="D100" s="418"/>
      <c r="E100" s="418"/>
      <c r="F100" s="418"/>
      <c r="G100" s="418"/>
      <c r="H100" s="418"/>
      <c r="I100" s="418"/>
    </row>
    <row r="101" spans="2:9" ht="16.5" thickBot="1" x14ac:dyDescent="0.3">
      <c r="B101" s="285"/>
      <c r="C101" s="427" t="s">
        <v>281</v>
      </c>
      <c r="D101" s="503">
        <f>VLOOKUP($C101,Ref_WorkloadSolutionSizing_RPs!$A$12:$K$132,IF(AND(EXACT(D$5,"Event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01" s="503">
        <f>VLOOKUP($C101,Ref_WorkloadSolutionSizing_RPs!$A$12:$K$132,IF(AND(EXACT(E$5,"Event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01" s="503">
        <f>VLOOKUP($C101,Ref_WorkloadSolutionSizing_RPs!$A$12:$K$132,IF(AND(EXACT(F$5,"Event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01" s="503">
        <f>VLOOKUP($C101,Ref_WorkloadSolutionSizing_RPs!$A$12:$K$132,IF(AND(EXACT(G$5,"Event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01" s="503">
        <f>VLOOKUP($C101,Ref_WorkloadSolutionSizing_RPs!$A$12:$K$132,IF(AND(EXACT(H$5,"Event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01" s="438">
        <v>0</v>
      </c>
    </row>
    <row r="102" spans="2:9" ht="16.5" thickBot="1" x14ac:dyDescent="0.3">
      <c r="B102" s="285"/>
      <c r="C102" s="427" t="s">
        <v>282</v>
      </c>
      <c r="D102" s="503">
        <f>VLOOKUP($C102,Ref_WorkloadSolutionSizing_RPs!$A$12:$K$132,IF(AND(EXACT(D$5,"Event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02" s="503">
        <f>VLOOKUP($C102,Ref_WorkloadSolutionSizing_RPs!$A$12:$K$132,IF(AND(EXACT(E$5,"Event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02" s="503">
        <f>VLOOKUP($C102,Ref_WorkloadSolutionSizing_RPs!$A$12:$K$132,IF(AND(EXACT(F$5,"Event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02" s="503">
        <f>VLOOKUP($C102,Ref_WorkloadSolutionSizing_RPs!$A$12:$K$132,IF(AND(EXACT(G$5,"Event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02" s="503">
        <f>VLOOKUP($C102,Ref_WorkloadSolutionSizing_RPs!$A$12:$K$132,IF(AND(EXACT(H$5,"Event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02" s="438">
        <v>0</v>
      </c>
    </row>
    <row r="103" spans="2:9" ht="16.5" thickBot="1" x14ac:dyDescent="0.3">
      <c r="B103" s="285"/>
      <c r="C103" s="427" t="s">
        <v>283</v>
      </c>
      <c r="D103" s="503">
        <f>VLOOKUP($C103,Ref_WorkloadSolutionSizing_RPs!$A$12:$K$132,IF(AND(EXACT(D$5,"Event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03" s="503">
        <f>VLOOKUP($C103,Ref_WorkloadSolutionSizing_RPs!$A$12:$K$132,IF(AND(EXACT(E$5,"Event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03" s="503">
        <f>VLOOKUP($C103,Ref_WorkloadSolutionSizing_RPs!$A$12:$K$132,IF(AND(EXACT(F$5,"Event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03" s="503">
        <f>VLOOKUP($C103,Ref_WorkloadSolutionSizing_RPs!$A$12:$K$132,IF(AND(EXACT(G$5,"Event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03" s="503">
        <f>VLOOKUP($C103,Ref_WorkloadSolutionSizing_RPs!$A$12:$K$132,IF(AND(EXACT(H$5,"Event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03" s="438">
        <v>0</v>
      </c>
    </row>
    <row r="104" spans="2:9" ht="16.5" thickBot="1" x14ac:dyDescent="0.3">
      <c r="B104" s="285"/>
      <c r="C104" s="427" t="s">
        <v>284</v>
      </c>
      <c r="D104" s="503">
        <f>VLOOKUP($C104,Ref_WorkloadSolutionSizing_RPs!$A$12:$K$132,IF(AND(EXACT(D$5,"Event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04" s="503">
        <f>VLOOKUP($C104,Ref_WorkloadSolutionSizing_RPs!$A$12:$K$132,IF(AND(EXACT(E$5,"Event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04" s="503">
        <f>VLOOKUP($C104,Ref_WorkloadSolutionSizing_RPs!$A$12:$K$132,IF(AND(EXACT(F$5,"Event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04" s="503">
        <f>VLOOKUP($C104,Ref_WorkloadSolutionSizing_RPs!$A$12:$K$132,IF(AND(EXACT(G$5,"Event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04" s="503">
        <f>VLOOKUP($C104,Ref_WorkloadSolutionSizing_RPs!$A$12:$K$132,IF(AND(EXACT(H$5,"Event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04" s="438">
        <v>0</v>
      </c>
    </row>
    <row r="105" spans="2:9" ht="16.5" thickBot="1" x14ac:dyDescent="0.3">
      <c r="B105" s="285"/>
      <c r="C105" s="427" t="s">
        <v>285</v>
      </c>
      <c r="D105" s="503">
        <f>VLOOKUP($C105,Ref_WorkloadSolutionSizing_RPs!$A$12:$K$132,IF(AND(EXACT(D$5,"Event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05" s="503">
        <f>VLOOKUP($C105,Ref_WorkloadSolutionSizing_RPs!$A$12:$K$132,IF(AND(EXACT(E$5,"Event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05" s="503">
        <f>VLOOKUP($C105,Ref_WorkloadSolutionSizing_RPs!$A$12:$K$132,IF(AND(EXACT(F$5,"Event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05" s="503">
        <f>VLOOKUP($C105,Ref_WorkloadSolutionSizing_RPs!$A$12:$K$132,IF(AND(EXACT(G$5,"Event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05" s="503">
        <f>VLOOKUP($C105,Ref_WorkloadSolutionSizing_RPs!$A$12:$K$132,IF(AND(EXACT(H$5,"Event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05" s="438">
        <v>0</v>
      </c>
    </row>
    <row r="106" spans="2:9" ht="15.75" thickBot="1" x14ac:dyDescent="0.3">
      <c r="B106" s="285"/>
      <c r="C106" s="417" t="s">
        <v>286</v>
      </c>
      <c r="D106" s="418"/>
      <c r="E106" s="418"/>
      <c r="F106" s="418"/>
      <c r="G106" s="418"/>
      <c r="H106" s="418"/>
      <c r="I106" s="418"/>
    </row>
    <row r="107" spans="2:9" ht="16.5" thickBot="1" x14ac:dyDescent="0.3">
      <c r="B107" s="285"/>
      <c r="C107" s="429" t="s">
        <v>287</v>
      </c>
      <c r="D107" s="503">
        <f>VLOOKUP($C107,Ref_WorkloadSolutionSizing_RPs!$A$12:$K$132,IF(AND(EXACT(D$5,"Event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07" s="503">
        <f>VLOOKUP($C107,Ref_WorkloadSolutionSizing_RPs!$A$12:$K$132,IF(AND(EXACT(E$5,"Event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07" s="503">
        <f>VLOOKUP($C107,Ref_WorkloadSolutionSizing_RPs!$A$12:$K$132,IF(AND(EXACT(F$5,"Event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07" s="503">
        <f>VLOOKUP($C107,Ref_WorkloadSolutionSizing_RPs!$A$12:$K$132,IF(AND(EXACT(G$5,"Event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07" s="503">
        <f>VLOOKUP($C107,Ref_WorkloadSolutionSizing_RPs!$A$12:$K$132,IF(AND(EXACT(H$5,"Event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07" s="438">
        <v>0</v>
      </c>
    </row>
    <row r="108" spans="2:9" ht="16.5" thickBot="1" x14ac:dyDescent="0.3">
      <c r="B108" s="285"/>
      <c r="C108" s="429" t="s">
        <v>288</v>
      </c>
      <c r="D108" s="503">
        <f>VLOOKUP($C108,Ref_WorkloadSolutionSizing_RPs!$A$12:$K$132,IF(AND(EXACT(D$5,"Event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08" s="503">
        <f>VLOOKUP($C108,Ref_WorkloadSolutionSizing_RPs!$A$12:$K$132,IF(AND(EXACT(E$5,"Event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08" s="503">
        <f>VLOOKUP($C108,Ref_WorkloadSolutionSizing_RPs!$A$12:$K$132,IF(AND(EXACT(F$5,"Event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08" s="503">
        <f>VLOOKUP($C108,Ref_WorkloadSolutionSizing_RPs!$A$12:$K$132,IF(AND(EXACT(G$5,"Event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08" s="503">
        <f>VLOOKUP($C108,Ref_WorkloadSolutionSizing_RPs!$A$12:$K$132,IF(AND(EXACT(H$5,"Event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08" s="438">
        <v>0</v>
      </c>
    </row>
    <row r="109" spans="2:9" ht="16.5" thickBot="1" x14ac:dyDescent="0.3">
      <c r="B109" s="285"/>
      <c r="C109" s="429" t="s">
        <v>289</v>
      </c>
      <c r="D109" s="503">
        <f>VLOOKUP($C109,Ref_WorkloadSolutionSizing_RPs!$A$12:$K$132,IF(AND(EXACT(D$5,"Event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09" s="503">
        <f>VLOOKUP($C109,Ref_WorkloadSolutionSizing_RPs!$A$12:$K$132,IF(AND(EXACT(E$5,"Event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09" s="503">
        <f>VLOOKUP($C109,Ref_WorkloadSolutionSizing_RPs!$A$12:$K$132,IF(AND(EXACT(F$5,"Event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09" s="503">
        <f>VLOOKUP($C109,Ref_WorkloadSolutionSizing_RPs!$A$12:$K$132,IF(AND(EXACT(G$5,"Event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09" s="503">
        <f>VLOOKUP($C109,Ref_WorkloadSolutionSizing_RPs!$A$12:$K$132,IF(AND(EXACT(H$5,"Event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09" s="438">
        <v>0</v>
      </c>
    </row>
    <row r="110" spans="2:9" ht="16.5" thickBot="1" x14ac:dyDescent="0.3">
      <c r="B110" s="285"/>
      <c r="C110" s="429" t="s">
        <v>290</v>
      </c>
      <c r="D110" s="503">
        <f>VLOOKUP($C110,Ref_WorkloadSolutionSizing_RPs!$A$12:$K$132,IF(AND(EXACT(D$5,"Event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10" s="503">
        <f>VLOOKUP($C110,Ref_WorkloadSolutionSizing_RPs!$A$12:$K$132,IF(AND(EXACT(E$5,"Event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10" s="503">
        <f>VLOOKUP($C110,Ref_WorkloadSolutionSizing_RPs!$A$12:$K$132,IF(AND(EXACT(F$5,"Event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10" s="503">
        <f>VLOOKUP($C110,Ref_WorkloadSolutionSizing_RPs!$A$12:$K$132,IF(AND(EXACT(G$5,"Event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10" s="503">
        <f>VLOOKUP($C110,Ref_WorkloadSolutionSizing_RPs!$A$12:$K$132,IF(AND(EXACT(H$5,"Event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10" s="438">
        <v>0</v>
      </c>
    </row>
    <row r="111" spans="2:9" ht="16.5" thickBot="1" x14ac:dyDescent="0.3">
      <c r="B111" s="285"/>
      <c r="C111" s="429" t="s">
        <v>291</v>
      </c>
      <c r="D111" s="503">
        <f>VLOOKUP($C111,Ref_WorkloadSolutionSizing_RPs!$A$12:$K$132,IF(AND(EXACT(D$5,"Event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11" s="503">
        <f>VLOOKUP($C111,Ref_WorkloadSolutionSizing_RPs!$A$12:$K$132,IF(AND(EXACT(E$5,"Event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11" s="503">
        <f>VLOOKUP($C111,Ref_WorkloadSolutionSizing_RPs!$A$12:$K$132,IF(AND(EXACT(F$5,"Event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11" s="503">
        <f>VLOOKUP($C111,Ref_WorkloadSolutionSizing_RPs!$A$12:$K$132,IF(AND(EXACT(G$5,"Event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11" s="503">
        <f>VLOOKUP($C111,Ref_WorkloadSolutionSizing_RPs!$A$12:$K$132,IF(AND(EXACT(H$5,"Event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11" s="438">
        <v>0</v>
      </c>
    </row>
    <row r="112" spans="2:9" ht="16.5" thickBot="1" x14ac:dyDescent="0.3">
      <c r="B112" s="285"/>
      <c r="C112" s="429" t="s">
        <v>292</v>
      </c>
      <c r="D112" s="503">
        <f>VLOOKUP($C112,Ref_WorkloadSolutionSizing_RPs!$A$12:$K$132,IF(AND(EXACT(D$5,"Event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12" s="503">
        <f>VLOOKUP($C112,Ref_WorkloadSolutionSizing_RPs!$A$12:$K$132,IF(AND(EXACT(E$5,"Event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12" s="503">
        <f>VLOOKUP($C112,Ref_WorkloadSolutionSizing_RPs!$A$12:$K$132,IF(AND(EXACT(F$5,"Event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12" s="503">
        <f>VLOOKUP($C112,Ref_WorkloadSolutionSizing_RPs!$A$12:$K$132,IF(AND(EXACT(G$5,"Event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12" s="503">
        <f>VLOOKUP($C112,Ref_WorkloadSolutionSizing_RPs!$A$12:$K$132,IF(AND(EXACT(H$5,"Event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12" s="289">
        <v>0</v>
      </c>
    </row>
    <row r="113" spans="2:9" ht="15.75" thickBot="1" x14ac:dyDescent="0.3">
      <c r="B113" s="285"/>
      <c r="C113" s="417" t="s">
        <v>293</v>
      </c>
      <c r="D113" s="418"/>
      <c r="E113" s="418"/>
      <c r="F113" s="418"/>
      <c r="G113" s="418"/>
      <c r="H113" s="418"/>
      <c r="I113" s="418"/>
    </row>
    <row r="114" spans="2:9" ht="16.5" thickBot="1" x14ac:dyDescent="0.3">
      <c r="B114" s="285"/>
      <c r="C114" s="422" t="s">
        <v>295</v>
      </c>
      <c r="D114" s="503">
        <f>VLOOKUP($C114,Ref_WorkloadSolutionSizing_RPs!$A$12:$K$132,IF(AND(EXACT(D$5,"Event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14" s="503">
        <f>VLOOKUP($C114,Ref_WorkloadSolutionSizing_RPs!$A$12:$K$132,IF(AND(EXACT(E$5,"Event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14" s="503">
        <f>VLOOKUP($C114,Ref_WorkloadSolutionSizing_RPs!$A$12:$K$132,IF(AND(EXACT(F$5,"Event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14" s="503">
        <f>VLOOKUP($C114,Ref_WorkloadSolutionSizing_RPs!$A$12:$K$132,IF(AND(EXACT(G$5,"Event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14" s="503">
        <f>VLOOKUP($C114,Ref_WorkloadSolutionSizing_RPs!$A$12:$K$132,IF(AND(EXACT(H$5,"Event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14" s="289">
        <v>0</v>
      </c>
    </row>
    <row r="115" spans="2:9" ht="16.5" thickBot="1" x14ac:dyDescent="0.3">
      <c r="B115" s="285"/>
      <c r="C115" s="422" t="s">
        <v>297</v>
      </c>
      <c r="D115" s="503">
        <f>VLOOKUP($C115,Ref_WorkloadSolutionSizing_RPs!$A$12:$K$132,IF(AND(EXACT(D$5,"Event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15" s="503">
        <f>VLOOKUP($C115,Ref_WorkloadSolutionSizing_RPs!$A$12:$K$132,IF(AND(EXACT(E$5,"Event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15" s="503">
        <f>VLOOKUP($C115,Ref_WorkloadSolutionSizing_RPs!$A$12:$K$132,IF(AND(EXACT(F$5,"Event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15" s="503">
        <f>VLOOKUP($C115,Ref_WorkloadSolutionSizing_RPs!$A$12:$K$132,IF(AND(EXACT(G$5,"Event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15" s="503">
        <f>VLOOKUP($C115,Ref_WorkloadSolutionSizing_RPs!$A$12:$K$132,IF(AND(EXACT(H$5,"Event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15" s="289">
        <v>0</v>
      </c>
    </row>
    <row r="116" spans="2:9" ht="16.5" thickBot="1" x14ac:dyDescent="0.3">
      <c r="B116" s="285"/>
      <c r="C116" s="422" t="s">
        <v>298</v>
      </c>
      <c r="D116" s="503">
        <f>VLOOKUP($C116,Ref_WorkloadSolutionSizing_RPs!$A$12:$K$132,IF(AND(EXACT(D$5,"Event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16" s="503">
        <f>VLOOKUP($C116,Ref_WorkloadSolutionSizing_RPs!$A$12:$K$132,IF(AND(EXACT(E$5,"Event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16" s="503">
        <f>VLOOKUP($C116,Ref_WorkloadSolutionSizing_RPs!$A$12:$K$132,IF(AND(EXACT(F$5,"Event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16" s="503">
        <f>VLOOKUP($C116,Ref_WorkloadSolutionSizing_RPs!$A$12:$K$132,IF(AND(EXACT(G$5,"Event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16" s="503">
        <f>VLOOKUP($C116,Ref_WorkloadSolutionSizing_RPs!$A$12:$K$132,IF(AND(EXACT(H$5,"Event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16" s="289">
        <v>0</v>
      </c>
    </row>
    <row r="117" spans="2:9" ht="15.75" thickBot="1" x14ac:dyDescent="0.3">
      <c r="B117" s="285"/>
      <c r="C117" s="417" t="s">
        <v>299</v>
      </c>
      <c r="D117" s="418"/>
      <c r="E117" s="418"/>
      <c r="F117" s="418"/>
      <c r="G117" s="418"/>
      <c r="H117" s="418"/>
      <c r="I117" s="418"/>
    </row>
    <row r="118" spans="2:9" ht="16.5" thickBot="1" x14ac:dyDescent="0.3">
      <c r="B118" s="285"/>
      <c r="C118" s="427" t="s">
        <v>300</v>
      </c>
      <c r="D118" s="503">
        <f>VLOOKUP($C118,Ref_WorkloadSolutionSizing_RPs!$A$12:$K$132,IF(AND(EXACT(D$5,"Event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18" s="503">
        <f>VLOOKUP($C118,Ref_WorkloadSolutionSizing_RPs!$A$12:$K$132,IF(AND(EXACT(E$5,"Event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18" s="503">
        <f>VLOOKUP($C118,Ref_WorkloadSolutionSizing_RPs!$A$12:$K$132,IF(AND(EXACT(F$5,"Event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18" s="503">
        <f>VLOOKUP($C118,Ref_WorkloadSolutionSizing_RPs!$A$12:$K$132,IF(AND(EXACT(G$5,"Event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18" s="503">
        <f>VLOOKUP($C118,Ref_WorkloadSolutionSizing_RPs!$A$12:$K$132,IF(AND(EXACT(H$5,"Event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18" s="289">
        <v>0</v>
      </c>
    </row>
    <row r="119" spans="2:9" ht="16.5" thickBot="1" x14ac:dyDescent="0.3">
      <c r="B119" s="285"/>
      <c r="C119" s="427" t="s">
        <v>301</v>
      </c>
      <c r="D119" s="503">
        <f>VLOOKUP($C119,Ref_WorkloadSolutionSizing_RPs!$A$12:$K$132,IF(AND(EXACT(D$5,"Event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19" s="503">
        <f>VLOOKUP($C119,Ref_WorkloadSolutionSizing_RPs!$A$12:$K$132,IF(AND(EXACT(E$5,"Event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19" s="503">
        <f>VLOOKUP($C119,Ref_WorkloadSolutionSizing_RPs!$A$12:$K$132,IF(AND(EXACT(F$5,"Event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19" s="503">
        <f>VLOOKUP($C119,Ref_WorkloadSolutionSizing_RPs!$A$12:$K$132,IF(AND(EXACT(G$5,"Event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19" s="503">
        <f>VLOOKUP($C119,Ref_WorkloadSolutionSizing_RPs!$A$12:$K$132,IF(AND(EXACT(H$5,"Event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19" s="289">
        <v>0</v>
      </c>
    </row>
    <row r="120" spans="2:9" ht="16.5" thickBot="1" x14ac:dyDescent="0.3">
      <c r="B120" s="285"/>
      <c r="C120" s="427" t="s">
        <v>302</v>
      </c>
      <c r="D120" s="503">
        <f>VLOOKUP($C120,Ref_WorkloadSolutionSizing_RPs!$A$12:$K$132,IF(AND(EXACT(D$5,"Event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20" s="503">
        <f>VLOOKUP($C120,Ref_WorkloadSolutionSizing_RPs!$A$12:$K$132,IF(AND(EXACT(E$5,"Event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20" s="503">
        <f>VLOOKUP($C120,Ref_WorkloadSolutionSizing_RPs!$A$12:$K$132,IF(AND(EXACT(F$5,"Event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20" s="503">
        <f>VLOOKUP($C120,Ref_WorkloadSolutionSizing_RPs!$A$12:$K$132,IF(AND(EXACT(G$5,"Event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20" s="503">
        <f>VLOOKUP($C120,Ref_WorkloadSolutionSizing_RPs!$A$12:$K$132,IF(AND(EXACT(H$5,"Event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20" s="289">
        <v>0</v>
      </c>
    </row>
    <row r="121" spans="2:9" ht="16.5" thickBot="1" x14ac:dyDescent="0.3">
      <c r="B121" s="285"/>
      <c r="C121" s="427" t="s">
        <v>303</v>
      </c>
      <c r="D121" s="503">
        <f>VLOOKUP($C121,Ref_WorkloadSolutionSizing_RPs!$A$12:$K$132,IF(AND(EXACT(D$5,"Event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21" s="503">
        <f>VLOOKUP($C121,Ref_WorkloadSolutionSizing_RPs!$A$12:$K$132,IF(AND(EXACT(E$5,"Event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21" s="503">
        <f>VLOOKUP($C121,Ref_WorkloadSolutionSizing_RPs!$A$12:$K$132,IF(AND(EXACT(F$5,"Event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21" s="503">
        <f>VLOOKUP($C121,Ref_WorkloadSolutionSizing_RPs!$A$12:$K$132,IF(AND(EXACT(G$5,"Event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21" s="503">
        <f>VLOOKUP($C121,Ref_WorkloadSolutionSizing_RPs!$A$12:$K$132,IF(AND(EXACT(H$5,"Event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21" s="289">
        <v>0</v>
      </c>
    </row>
    <row r="122" spans="2:9" ht="15.75" thickBot="1" x14ac:dyDescent="0.3">
      <c r="B122" s="285"/>
      <c r="C122" s="417" t="s">
        <v>712</v>
      </c>
      <c r="D122" s="418"/>
      <c r="E122" s="418"/>
      <c r="F122" s="418"/>
      <c r="G122" s="418"/>
      <c r="H122" s="418"/>
      <c r="I122" s="418"/>
    </row>
    <row r="123" spans="2:9" ht="16.5" thickBot="1" x14ac:dyDescent="0.3">
      <c r="B123" s="285"/>
      <c r="C123" s="427" t="s">
        <v>709</v>
      </c>
      <c r="D123" s="503">
        <f>VLOOKUP($C123,Ref_WorkloadSolutionSizing_RPs!$A$12:$K$132,IF(AND(EXACT(D$5,"Event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23" s="503">
        <f>VLOOKUP($C123,Ref_WorkloadSolutionSizing_RPs!$A$12:$K$132,IF(AND(EXACT(E$5,"Event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23" s="503">
        <f>VLOOKUP($C123,Ref_WorkloadSolutionSizing_RPs!$A$12:$K$132,IF(AND(EXACT(F$5,"Event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23" s="503">
        <f>VLOOKUP($C123,Ref_WorkloadSolutionSizing_RPs!$A$12:$K$132,IF(AND(EXACT(G$5,"Event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23" s="503">
        <f>VLOOKUP($C123,Ref_WorkloadSolutionSizing_RPs!$A$12:$K$132,IF(AND(EXACT(H$5,"Event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23" s="289">
        <v>1</v>
      </c>
    </row>
    <row r="124" spans="2:9" ht="16.5" thickBot="1" x14ac:dyDescent="0.3">
      <c r="B124" s="285"/>
      <c r="C124" s="427" t="s">
        <v>710</v>
      </c>
      <c r="D124" s="503">
        <f>VLOOKUP($C124,Ref_WorkloadSolutionSizing_RPs!$A$12:$K$132,IF(AND(EXACT(D$5,"Event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24" s="503">
        <f>VLOOKUP($C124,Ref_WorkloadSolutionSizing_RPs!$A$12:$K$132,IF(AND(EXACT(E$5,"Event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24" s="503">
        <f>VLOOKUP($C124,Ref_WorkloadSolutionSizing_RPs!$A$12:$K$132,IF(AND(EXACT(F$5,"Event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24" s="503">
        <f>VLOOKUP($C124,Ref_WorkloadSolutionSizing_RPs!$A$12:$K$132,IF(AND(EXACT(G$5,"Event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24" s="503">
        <f>VLOOKUP($C124,Ref_WorkloadSolutionSizing_RPs!$A$12:$K$132,IF(AND(EXACT(H$5,"Event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24" s="289">
        <v>2</v>
      </c>
    </row>
    <row r="125" spans="2:9" ht="15.75" thickBot="1" x14ac:dyDescent="0.3">
      <c r="B125" s="285"/>
      <c r="C125" s="417" t="s">
        <v>304</v>
      </c>
      <c r="D125" s="418"/>
      <c r="E125" s="418"/>
      <c r="F125" s="418"/>
      <c r="G125" s="418"/>
      <c r="H125" s="418"/>
      <c r="I125" s="418"/>
    </row>
    <row r="126" spans="2:9" ht="16.5" thickBot="1" x14ac:dyDescent="0.3">
      <c r="B126" s="290" t="s">
        <v>306</v>
      </c>
      <c r="C126" s="429" t="s">
        <v>305</v>
      </c>
      <c r="D126" s="503">
        <f>VLOOKUP($C126,Ref_WorkloadSolutionSizing_RPs!$A$12:$K$132,IF(AND(EXACT(D$5,"Event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26" s="503">
        <f>VLOOKUP($C126,Ref_WorkloadSolutionSizing_RPs!$A$12:$K$132,IF(AND(EXACT(E$5,"Event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26" s="503">
        <f>VLOOKUP($C126,Ref_WorkloadSolutionSizing_RPs!$A$12:$K$132,IF(AND(EXACT(F$5,"Event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26" s="503">
        <f>VLOOKUP($C126,Ref_WorkloadSolutionSizing_RPs!$A$12:$K$132,IF(AND(EXACT(G$5,"Event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26" s="503">
        <f>VLOOKUP($C126,Ref_WorkloadSolutionSizing_RPs!$A$12:$K$132,IF(AND(EXACT(H$5,"Event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26" s="289">
        <v>0</v>
      </c>
    </row>
    <row r="127" spans="2:9" ht="16.5" thickBot="1" x14ac:dyDescent="0.3">
      <c r="B127" s="290" t="s">
        <v>308</v>
      </c>
      <c r="C127" s="429" t="s">
        <v>307</v>
      </c>
      <c r="D127" s="503">
        <f>VLOOKUP($C127,Ref_WorkloadSolutionSizing_RPs!$A$12:$K$132,IF(AND(EXACT(D$5,"Event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27" s="503">
        <f>VLOOKUP($C127,Ref_WorkloadSolutionSizing_RPs!$A$12:$K$132,IF(AND(EXACT(E$5,"Event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27" s="503">
        <f>VLOOKUP($C127,Ref_WorkloadSolutionSizing_RPs!$A$12:$K$132,IF(AND(EXACT(F$5,"Event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27" s="503">
        <f>VLOOKUP($C127,Ref_WorkloadSolutionSizing_RPs!$A$12:$K$132,IF(AND(EXACT(G$5,"Event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27" s="503">
        <f>VLOOKUP($C127,Ref_WorkloadSolutionSizing_RPs!$A$12:$K$132,IF(AND(EXACT(H$5,"Event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27" s="289">
        <v>0</v>
      </c>
    </row>
    <row r="128" spans="2:9" ht="16.5" thickBot="1" x14ac:dyDescent="0.3">
      <c r="B128" s="290" t="s">
        <v>310</v>
      </c>
      <c r="C128" s="429" t="s">
        <v>309</v>
      </c>
      <c r="D128" s="503">
        <f>VLOOKUP($C128,Ref_WorkloadSolutionSizing_RPs!$A$12:$K$132,IF(AND(EXACT(D$5,"Event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28" s="503">
        <f>VLOOKUP($C128,Ref_WorkloadSolutionSizing_RPs!$A$12:$K$132,IF(AND(EXACT(E$5,"Event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28" s="503">
        <f>VLOOKUP($C128,Ref_WorkloadSolutionSizing_RPs!$A$12:$K$132,IF(AND(EXACT(F$5,"Event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28" s="503">
        <f>VLOOKUP($C128,Ref_WorkloadSolutionSizing_RPs!$A$12:$K$132,IF(AND(EXACT(G$5,"Event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28" s="503">
        <f>VLOOKUP($C128,Ref_WorkloadSolutionSizing_RPs!$A$12:$K$132,IF(AND(EXACT(H$5,"Event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28" s="289">
        <v>0</v>
      </c>
    </row>
    <row r="129" spans="2:11" ht="16.5" thickBot="1" x14ac:dyDescent="0.3">
      <c r="B129" s="291">
        <v>1</v>
      </c>
      <c r="C129" s="429" t="s">
        <v>312</v>
      </c>
      <c r="D129" s="503">
        <f>VLOOKUP($C129,Ref_WorkloadSolutionSizing_RPs!$A$12:$K$132,IF(AND(EXACT(D$5,"Event Hub"),EXACT(D$6,"Small")),8,IF(AND(EXACT(D$5,"Event Hub"),EXACT(D$6,"Medium")),9,IF(AND(EXACT(D$5,"Event Hub"),EXACT(D$6,"Large")),10,IF(AND(EXACT(D$5,"AppService"),EXACT(D$6,"Small")),2,IF(AND(EXACT(D$5,"AppService"),EXACT(D$6,"Medium")),3,IF(AND(EXACT(D$5,"AppService"),EXACT(D$6,"Large")),4,IF((EXACT(D$5,"N/A")),5,IF(EXACT(D$5,"SQL/mySQL"),6,IF(AND(EXACT(D$5,"AppService"),EXACT(D$6,"Small")),8))))))))), FALSE)</f>
        <v>0</v>
      </c>
      <c r="E129" s="503">
        <f>VLOOKUP($C129,Ref_WorkloadSolutionSizing_RPs!$A$12:$K$132,IF(AND(EXACT(E$5,"Event Hub"),EXACT(E$6,"Small")),8,IF(AND(EXACT(E$5,"Event Hub"),EXACT(E$6,"Medium")),9,IF(AND(EXACT(E$5,"Event Hub"),EXACT(E$6,"Large")),10,IF(AND(EXACT(E$5,"AppService"),EXACT(E$6,"Small")),2,IF(AND(EXACT(E$5,"AppService"),EXACT(E$6,"Medium")),3,IF(AND(EXACT(E$5,"AppService"),EXACT(E$6,"Large")),4,IF((EXACT(E$5,"N/A")),5,IF(EXACT(E$5,"SQL/mySQL"),6,IF(AND(EXACT(E$5,"AppService"),EXACT(E$6,"Small")),8))))))))), FALSE)</f>
        <v>0</v>
      </c>
      <c r="F129" s="503">
        <f>VLOOKUP($C129,Ref_WorkloadSolutionSizing_RPs!$A$12:$K$132,IF(AND(EXACT(F$5,"Event Hub"),EXACT(F$6,"Small")),8,IF(AND(EXACT(F$5,"Event Hub"),EXACT(F$6,"Medium")),9,IF(AND(EXACT(F$5,"Event Hub"),EXACT(F$6,"Large")),10,IF(AND(EXACT(F$5,"AppService"),EXACT(F$6,"Small")),2,IF(AND(EXACT(F$5,"AppService"),EXACT(F$6,"Medium")),3,IF(AND(EXACT(F$5,"AppService"),EXACT(F$6,"Large")),4,IF((EXACT(F$5,"N/A")),5,IF(EXACT(F$5,"SQL/mySQL"),6,IF(AND(EXACT(F$5,"AppService"),EXACT(F$6,"Small")),8))))))))), FALSE)</f>
        <v>0</v>
      </c>
      <c r="G129" s="503">
        <f>VLOOKUP($C129,Ref_WorkloadSolutionSizing_RPs!$A$12:$K$132,IF(AND(EXACT(G$5,"Event Hub"),EXACT(G$6,"Small")),8,IF(AND(EXACT(G$5,"Event Hub"),EXACT(G$6,"Medium")),9,IF(AND(EXACT(G$5,"Event Hub"),EXACT(G$6,"Large")),10,IF(AND(EXACT(G$5,"AppService"),EXACT(G$6,"Small")),2,IF(AND(EXACT(G$5,"AppService"),EXACT(G$6,"Medium")),3,IF(AND(EXACT(G$5,"AppService"),EXACT(G$6,"Large")),4,IF((EXACT(G$5,"N/A")),5,IF(EXACT(G$5,"SQL/mySQL"),6,IF(AND(EXACT(G$5,"AppService"),EXACT(G$6,"Small")),8))))))))), FALSE)</f>
        <v>0</v>
      </c>
      <c r="H129" s="503">
        <f>VLOOKUP($C129,Ref_WorkloadSolutionSizing_RPs!$A$12:$K$132,IF(AND(EXACT(H$5,"Event Hub"),EXACT(H$6,"Small")),8,IF(AND(EXACT(H$5,"Event Hub"),EXACT(H$6,"Medium")),9,IF(AND(EXACT(H$5,"Event Hub"),EXACT(H$6,"Large")),10,IF(AND(EXACT(H$5,"AppService"),EXACT(H$6,"Small")),2,IF(AND(EXACT(H$5,"AppService"),EXACT(H$6,"Medium")),3,IF(AND(EXACT(H$5,"AppService"),EXACT(H$6,"Large")),4,IF((EXACT(H$5,"N/A")),5,IF(EXACT(H$5,"SQL/mySQL"),6,IF(AND(EXACT(H$5,"AppService"),EXACT(H$6,"Small")),8))))))))), FALSE)</f>
        <v>0</v>
      </c>
      <c r="I129" s="289">
        <v>0</v>
      </c>
    </row>
    <row r="130" spans="2:11" ht="16.5" thickBot="1" x14ac:dyDescent="0.3">
      <c r="B130" s="285"/>
      <c r="C130" s="442" t="s">
        <v>347</v>
      </c>
      <c r="D130" s="506">
        <f>SUM(D8:D65,D67:D92,D94:D129)*Quantity_Type1_Tenants</f>
        <v>0</v>
      </c>
      <c r="E130" s="504">
        <f>SUM(E8:E65,E67:E92,E94:E129)*Quantity_Type2_Tenants</f>
        <v>0</v>
      </c>
      <c r="F130" s="505">
        <f>SUM(F8:F65,F67:F92,F94:F129)*Quantity_Type3_Tenants</f>
        <v>0</v>
      </c>
      <c r="G130" s="506">
        <f>SUM(G8:G65,G67:G92,G94:G129)*Quantity_Type4_Tenants</f>
        <v>0</v>
      </c>
      <c r="H130" s="506">
        <f>SUM(H8:H65,H67:H92,H94:H129)*Quantity_Type5_Tenants</f>
        <v>0</v>
      </c>
      <c r="I130" s="504">
        <f>SUM(I8:I65,I67:I92,I94:I129)*Quantity_Type6_Tenants</f>
        <v>3</v>
      </c>
    </row>
    <row r="131" spans="2:11" ht="16.5" thickBot="1" x14ac:dyDescent="0.3">
      <c r="B131" s="285"/>
      <c r="C131" s="443" t="s">
        <v>348</v>
      </c>
      <c r="D131" s="507">
        <f>IF((SUM(D130:I130)&lt;TotalVMMaximum),SUM(D130:I130),ERROR)</f>
        <v>3</v>
      </c>
      <c r="E131" s="444" t="s">
        <v>349</v>
      </c>
      <c r="F131" s="445"/>
      <c r="G131" s="445"/>
      <c r="H131" s="446"/>
      <c r="I131" s="447"/>
      <c r="J131" s="448"/>
    </row>
    <row r="132" spans="2:11" x14ac:dyDescent="0.25">
      <c r="C132" s="449"/>
    </row>
    <row r="134" spans="2:11" ht="15.75" thickBot="1" x14ac:dyDescent="0.3">
      <c r="B134" s="285"/>
    </row>
    <row r="135" spans="2:11" ht="19.5" thickBot="1" x14ac:dyDescent="0.35">
      <c r="B135" s="428"/>
      <c r="D135" s="450"/>
      <c r="E135" s="451"/>
      <c r="F135" s="452" t="s">
        <v>704</v>
      </c>
      <c r="G135" s="508" t="str">
        <f>Selected_Tenant_SKU</f>
        <v>Example 6</v>
      </c>
      <c r="H135" s="453"/>
      <c r="I135" s="454"/>
      <c r="J135" s="455"/>
    </row>
    <row r="136" spans="2:11" ht="15.75" x14ac:dyDescent="0.25">
      <c r="D136" s="456"/>
      <c r="E136" s="457" t="s">
        <v>248</v>
      </c>
      <c r="F136" s="332"/>
      <c r="G136" s="457" t="s">
        <v>249</v>
      </c>
      <c r="H136" s="271"/>
      <c r="I136" s="458" t="s">
        <v>250</v>
      </c>
      <c r="J136" s="459"/>
    </row>
    <row r="137" spans="2:11" ht="15.75" x14ac:dyDescent="0.25">
      <c r="D137" s="270" t="s">
        <v>252</v>
      </c>
      <c r="E137" s="509">
        <f>VLOOKUP(Selected_Tenant_SKU,SKUsRecommendationPage!$X$47:$AD$52,3,FALSE)</f>
        <v>1294.7</v>
      </c>
      <c r="F137" s="460"/>
      <c r="G137" s="509">
        <f>Total_Consumed_Tenant_VM_Cores</f>
        <v>0</v>
      </c>
      <c r="H137" s="460"/>
      <c r="I137" s="509">
        <f>(Total_Tenant_CPU_Cores)-(Consumed_Tenant_CPU_Cores)</f>
        <v>1294.7</v>
      </c>
      <c r="J137" s="461"/>
    </row>
    <row r="138" spans="2:11" ht="15.75" x14ac:dyDescent="0.25">
      <c r="D138" s="270" t="s">
        <v>146</v>
      </c>
      <c r="E138" s="509">
        <f>VLOOKUP(Selected_Tenant_SKU,SKUsRecommendationPage!$X$47:$AD$52,4,FALSE)</f>
        <v>19064</v>
      </c>
      <c r="F138" s="462" t="s">
        <v>254</v>
      </c>
      <c r="G138" s="509">
        <f>Total_Consumed_Tenant_VM_Memory + Total_Tenant_Non_HA_workloads</f>
        <v>0</v>
      </c>
      <c r="H138" s="460" t="s">
        <v>254</v>
      </c>
      <c r="I138" s="509">
        <f>Total_Tenant_Memory-Consumed_Tenant_Memory</f>
        <v>19064</v>
      </c>
      <c r="J138" s="461" t="s">
        <v>254</v>
      </c>
      <c r="K138" s="282"/>
    </row>
    <row r="139" spans="2:11" ht="15.75" x14ac:dyDescent="0.25">
      <c r="D139" s="270" t="s">
        <v>256</v>
      </c>
      <c r="E139" s="509">
        <f>VLOOKUP(Selected_Tenant_SKU,SKUsRecommendationPage!$X$47:$AD$52,5,FALSE)</f>
        <v>85.681676864624023</v>
      </c>
      <c r="F139" s="462" t="s">
        <v>257</v>
      </c>
      <c r="G139" s="509">
        <f>Total_Consumed_Tenant_VM_TempDisk</f>
        <v>0</v>
      </c>
      <c r="H139" s="460" t="s">
        <v>254</v>
      </c>
      <c r="I139" s="509">
        <f>((Total_Tenant_TempDisk*1024)-Consumed_Tenant_TempDisk)/1024</f>
        <v>85.681676864624023</v>
      </c>
      <c r="J139" s="463" t="s">
        <v>257</v>
      </c>
      <c r="K139" s="464"/>
    </row>
    <row r="140" spans="2:11" ht="15.75" x14ac:dyDescent="0.25">
      <c r="D140" s="465" t="s">
        <v>258</v>
      </c>
      <c r="E140" s="509">
        <f>VLOOKUP(Selected_Tenant_SKU,SKUsRecommendationPage!$X$47:$AD$52,6,FALSE)</f>
        <v>767.7171230316161</v>
      </c>
      <c r="F140" s="466" t="s">
        <v>257</v>
      </c>
      <c r="G140" s="509">
        <f>Total_Consumed_Tenant_VM_Disk</f>
        <v>0</v>
      </c>
      <c r="H140" s="467" t="s">
        <v>254</v>
      </c>
      <c r="I140" s="509">
        <f>((Total_Tenant_Disk*1024)-Consumed_Tenant_Disk)/1024</f>
        <v>767.7171230316161</v>
      </c>
      <c r="J140" s="463" t="s">
        <v>257</v>
      </c>
      <c r="K140" s="464"/>
    </row>
    <row r="141" spans="2:11" ht="15.75" x14ac:dyDescent="0.25">
      <c r="D141" s="278" t="s">
        <v>350</v>
      </c>
      <c r="E141" s="509">
        <f>VLOOKUP(Selected_Tenant_SKU,SKUsRecommendationPage!$X$47:$AD$52,7,FALSE)</f>
        <v>32</v>
      </c>
      <c r="F141" s="468" t="s">
        <v>254</v>
      </c>
      <c r="G141" s="509">
        <f>IF(Selected_Tenant_SKU ="Example 6", Total_Consumed_Tenant_CustomWorkload_GPU, 0)</f>
        <v>0</v>
      </c>
      <c r="H141" s="469" t="s">
        <v>254</v>
      </c>
      <c r="I141" s="509">
        <f>Total_Tenant_GPU - Total_Tenant_Consumed_GPU</f>
        <v>32</v>
      </c>
      <c r="J141" s="470" t="s">
        <v>254</v>
      </c>
      <c r="K141" s="252"/>
    </row>
    <row r="142" spans="2:11" x14ac:dyDescent="0.25">
      <c r="K142" s="252"/>
    </row>
    <row r="143" spans="2:11" x14ac:dyDescent="0.25">
      <c r="K143" s="252"/>
    </row>
    <row r="144" spans="2:11" x14ac:dyDescent="0.25">
      <c r="K144" s="252"/>
    </row>
    <row r="145" spans="11:12" x14ac:dyDescent="0.25">
      <c r="K145" s="252"/>
    </row>
    <row r="146" spans="11:12" x14ac:dyDescent="0.25">
      <c r="K146" s="252"/>
    </row>
    <row r="147" spans="11:12" ht="46.5" x14ac:dyDescent="0.7">
      <c r="K147" s="252"/>
      <c r="L147" s="471"/>
    </row>
    <row r="148" spans="11:12" ht="18" customHeight="1" x14ac:dyDescent="0.25">
      <c r="K148" s="252"/>
    </row>
    <row r="149" spans="11:12" ht="15" customHeight="1" x14ac:dyDescent="0.25"/>
    <row r="177" spans="3:18" s="310" customFormat="1" x14ac:dyDescent="0.25">
      <c r="C177" s="308" t="s">
        <v>314</v>
      </c>
      <c r="R177" s="308" t="s">
        <v>314</v>
      </c>
    </row>
    <row r="179" spans="3:18" ht="15.75" thickBot="1" x14ac:dyDescent="0.3">
      <c r="D179" s="472" t="s">
        <v>351</v>
      </c>
      <c r="E179" s="473" t="s">
        <v>352</v>
      </c>
      <c r="F179" s="472" t="s">
        <v>353</v>
      </c>
      <c r="G179" s="473" t="s">
        <v>354</v>
      </c>
      <c r="H179" s="472" t="s">
        <v>355</v>
      </c>
      <c r="I179" s="473" t="s">
        <v>356</v>
      </c>
      <c r="L179" s="474" t="s">
        <v>357</v>
      </c>
      <c r="M179" s="475" t="s">
        <v>358</v>
      </c>
      <c r="N179" s="474" t="s">
        <v>359</v>
      </c>
      <c r="O179" s="475" t="s">
        <v>360</v>
      </c>
      <c r="P179" s="474" t="s">
        <v>361</v>
      </c>
      <c r="Q179" s="473" t="s">
        <v>362</v>
      </c>
      <c r="R179" s="473" t="s">
        <v>362</v>
      </c>
    </row>
    <row r="180" spans="3:18" x14ac:dyDescent="0.25">
      <c r="C180" s="476" t="s">
        <v>155</v>
      </c>
      <c r="D180" s="216">
        <f>Basic_A0_Cores*Quantity_Tenant1_Basic_A0</f>
        <v>0</v>
      </c>
      <c r="E180" s="216">
        <f>Basic_A0_Cores*Quantity_Tenant2_Basic_A0</f>
        <v>23</v>
      </c>
      <c r="F180" s="216">
        <f>Basic_A0_Cores*Quantity_Tenant3_Basic_A0</f>
        <v>0</v>
      </c>
      <c r="G180" s="216">
        <f>Basic_A0_Cores*Quantity_Tenant4_Basic_A0</f>
        <v>0</v>
      </c>
      <c r="H180" s="216">
        <f>Basic_A0_Cores*Quantity_Tenant5_Basic_A0</f>
        <v>0</v>
      </c>
      <c r="I180" s="216">
        <f>Basic_A0_Cores*Quantity_Tenant6_Basic_A0</f>
        <v>0</v>
      </c>
      <c r="K180" s="476" t="s">
        <v>155</v>
      </c>
      <c r="L180" s="216">
        <f>Basic_A0_Memory*Quantity_Tenant1_Basic_A0</f>
        <v>0</v>
      </c>
      <c r="M180" s="216">
        <f>Basic_A0_Memory*Quantity_Tenant2_Basic_A0</f>
        <v>17.25</v>
      </c>
      <c r="N180" s="216">
        <f>Basic_A0_Memory*Quantity_Tenant3_Basic_A0</f>
        <v>0</v>
      </c>
      <c r="O180" s="216">
        <f>Basic_A0_Memory*Quantity_Tenant4_Basic_A0</f>
        <v>0</v>
      </c>
      <c r="P180" s="216">
        <f>Basic_A0_Memory*Quantity_Tenant5_Basic_A0</f>
        <v>0</v>
      </c>
      <c r="Q180" s="216">
        <f>Basic_A0_Memory*Quantity_Tenant6_Basic_A0</f>
        <v>0</v>
      </c>
      <c r="R180" s="223">
        <f>IF(Quantity_Tenant6_Basic_A0=0,0,Basic_A0_Memory)</f>
        <v>0</v>
      </c>
    </row>
    <row r="181" spans="3:18" x14ac:dyDescent="0.25">
      <c r="C181" s="478" t="s">
        <v>159</v>
      </c>
      <c r="D181" s="372">
        <f>Basic_A1_Cores*Quantity_Tenant1_Basic_A1</f>
        <v>0</v>
      </c>
      <c r="E181" s="372">
        <f>Basic_A1_Cores*Quantity_Tenant2_Basic_A1</f>
        <v>0</v>
      </c>
      <c r="F181" s="372">
        <f>Basic_A1_Cores*Quantity_Tenant3_Basic_A1</f>
        <v>0</v>
      </c>
      <c r="G181" s="372">
        <f>Basic_A1_Cores*Quantity_Tenant4_Basic_A1</f>
        <v>0</v>
      </c>
      <c r="H181" s="372">
        <f>Basic_A1_Cores*Quantity_Tenant5_Basic_A1</f>
        <v>0</v>
      </c>
      <c r="I181" s="372">
        <f>Basic_A1_Cores*Quantity_Tenant6_Basic_A1</f>
        <v>0</v>
      </c>
      <c r="K181" s="478" t="s">
        <v>159</v>
      </c>
      <c r="L181" s="372">
        <f>Basic_A1_Memory*Quantity_Tenant1_Basic_A1</f>
        <v>0</v>
      </c>
      <c r="M181" s="372">
        <f>Basic_A1_Memory*Quantity_Tenant2_Basic_A1</f>
        <v>0</v>
      </c>
      <c r="N181" s="372">
        <f>Basic_A1_Memory*Quantity_Tenant3_Basic_A1</f>
        <v>0</v>
      </c>
      <c r="O181" s="372">
        <f>Basic_A1_Memory*Quantity_Tenant4_Basic_A1</f>
        <v>0</v>
      </c>
      <c r="P181" s="372">
        <f>Basic_A1_Memory*Quantity_Tenant5_Basic_A1</f>
        <v>0</v>
      </c>
      <c r="Q181" s="372">
        <f>Basic_A1_Memory*Quantity_Tenant6_Basic_A1</f>
        <v>0</v>
      </c>
      <c r="R181" s="223">
        <f>IF(Quantity_Tenant6_Basic_A1=0,0,Basic_A1_Memory)</f>
        <v>0</v>
      </c>
    </row>
    <row r="182" spans="3:18" x14ac:dyDescent="0.25">
      <c r="C182" s="478" t="s">
        <v>162</v>
      </c>
      <c r="D182" s="372">
        <f>Basic_A2_Cores*Quantity_Tenant1_Basic_A2</f>
        <v>0</v>
      </c>
      <c r="E182" s="372">
        <f>Basic_A2_Cores*Quantity_Tenant2_Basic_A2</f>
        <v>0</v>
      </c>
      <c r="F182" s="372">
        <f>Basic_A2_Cores*Quantity_Tenant3_Basic_A2</f>
        <v>0</v>
      </c>
      <c r="G182" s="372">
        <f>Basic_A2_Cores*Quantity_Tenant4_Basic_A2</f>
        <v>0</v>
      </c>
      <c r="H182" s="372">
        <f>Basic_A2_Cores*Quantity_Tenant5_Basic_A2</f>
        <v>0</v>
      </c>
      <c r="I182" s="372">
        <f>Basic_A2_Cores*Quantity_Tenant6_Basic_A2</f>
        <v>0</v>
      </c>
      <c r="K182" s="478" t="s">
        <v>162</v>
      </c>
      <c r="L182" s="372">
        <f>Basic_A2_Memory*Quantity_Tenant1_Basic_A2</f>
        <v>0</v>
      </c>
      <c r="M182" s="372">
        <f>Basic_A2_Memory*Quantity_Tenant2_Basic_A2</f>
        <v>0</v>
      </c>
      <c r="N182" s="372">
        <f>Basic_A2_Memory*Quantity_Tenant3_Basic_A2</f>
        <v>0</v>
      </c>
      <c r="O182" s="372">
        <f>Basic_A2_Memory*Quantity_Tenant4_Basic_A2</f>
        <v>0</v>
      </c>
      <c r="P182" s="372">
        <f>Basic_A2_Memory*Quantity_Tenant5_Basic_A2</f>
        <v>0</v>
      </c>
      <c r="Q182" s="372">
        <f>Basic_A2_Memory*Quantity_Tenant6_Basic_A2</f>
        <v>0</v>
      </c>
      <c r="R182" s="223">
        <f>IF(Quantity_Tenant6_Basic_A2=0,0,Basic_A2_Memory)</f>
        <v>0</v>
      </c>
    </row>
    <row r="183" spans="3:18" x14ac:dyDescent="0.25">
      <c r="C183" s="478" t="s">
        <v>164</v>
      </c>
      <c r="D183" s="372">
        <f>Basic_A3_Cores*Quantity_Tenant1_Basic_A3</f>
        <v>0</v>
      </c>
      <c r="E183" s="372">
        <f>Basic_A3_Cores*Quantity_Tenant2_Basic_A3</f>
        <v>0</v>
      </c>
      <c r="F183" s="372">
        <f>Basic_A3_Cores*Quantity_Tenant3_Basic_A3</f>
        <v>0</v>
      </c>
      <c r="G183" s="372">
        <f>Basic_A3_Cores*Quantity_Tenant4_Basic_A3</f>
        <v>0</v>
      </c>
      <c r="H183" s="372">
        <f>Basic_A3_Cores*Quantity_Tenant5_Basic_A3</f>
        <v>0</v>
      </c>
      <c r="I183" s="372">
        <f>Basic_A3_Cores*Quantity_Tenant6_Basic_A3</f>
        <v>0</v>
      </c>
      <c r="K183" s="478" t="s">
        <v>164</v>
      </c>
      <c r="L183" s="372">
        <f>Basic_A3_Memory*Quantity_Tenant1_Basic_A3</f>
        <v>0</v>
      </c>
      <c r="M183" s="372">
        <f>Basic_A3_Memory*Quantity_Tenant2_Basic_A3</f>
        <v>0</v>
      </c>
      <c r="N183" s="372">
        <f>Basic_A3_Memory*Quantity_Tenant3_Basic_A3</f>
        <v>0</v>
      </c>
      <c r="O183" s="372">
        <f>Basic_A3_Memory*Quantity_Tenant4_Basic_A3</f>
        <v>0</v>
      </c>
      <c r="P183" s="372">
        <f>Basic_A3_Memory*Quantity_Tenant5_Basic_A3</f>
        <v>0</v>
      </c>
      <c r="Q183" s="372">
        <f>Basic_A3_Memory*Quantity_Tenant6_Basic_A3</f>
        <v>0</v>
      </c>
      <c r="R183" s="223">
        <f>IF(Quantity_Tenant6_Basic_A3=0,0,Basic_A3_Memory)</f>
        <v>0</v>
      </c>
    </row>
    <row r="184" spans="3:18" x14ac:dyDescent="0.25">
      <c r="C184" s="478" t="s">
        <v>167</v>
      </c>
      <c r="D184" s="372">
        <f>Basic_A4_Cores*Quantity_Tenant1_Basic_A4</f>
        <v>0</v>
      </c>
      <c r="E184" s="372">
        <f>Basic_A4_Cores*Quantity_Tenant2_Basic_A4</f>
        <v>0</v>
      </c>
      <c r="F184" s="372">
        <f>Basic_A4_Cores*Quantity_Tenant3_Basic_A4</f>
        <v>0</v>
      </c>
      <c r="G184" s="372">
        <f>Basic_A4_Cores*Quantity_Tenant4_Basic_A4</f>
        <v>0</v>
      </c>
      <c r="H184" s="372">
        <f>Basic_A4_Cores*Quantity_Tenant5_Basic_A4</f>
        <v>0</v>
      </c>
      <c r="I184" s="372">
        <f>Basic_A4_Cores*Quantity_Tenant6_Basic_A4</f>
        <v>0</v>
      </c>
      <c r="K184" s="478" t="s">
        <v>167</v>
      </c>
      <c r="L184" s="372">
        <f>Basic_A4_Memory*Quantity_Tenant1_Basic_A4</f>
        <v>0</v>
      </c>
      <c r="M184" s="372">
        <f>Basic_A4_Memory*Quantity_Tenant2_Basic_A4</f>
        <v>0</v>
      </c>
      <c r="N184" s="372">
        <f>Basic_A4_Memory*Quantity_Tenant3_Basic_A4</f>
        <v>0</v>
      </c>
      <c r="O184" s="372">
        <f>Basic_A4_Memory*Quantity_Tenant4_Basic_A4</f>
        <v>0</v>
      </c>
      <c r="P184" s="372">
        <f>Basic_A4_Memory*Quantity_Tenant5_Basic_A4</f>
        <v>0</v>
      </c>
      <c r="Q184" s="372">
        <f>Basic_A4_Memory*Quantity_Tenant6_Basic_A4</f>
        <v>0</v>
      </c>
      <c r="R184" s="223">
        <f>IF(Quantity_Tenant6_Basic_A4=0,0,Basic_A4_Memory)</f>
        <v>0</v>
      </c>
    </row>
    <row r="185" spans="3:18" x14ac:dyDescent="0.25">
      <c r="C185" s="479" t="s">
        <v>169</v>
      </c>
      <c r="D185" s="373">
        <f>Standard_A0_Cores*Quantity_Tenant1_Standard_A0</f>
        <v>0</v>
      </c>
      <c r="E185" s="373">
        <f>Standard_A0_Cores*Quantity_Tenant2_Standard_A0</f>
        <v>0</v>
      </c>
      <c r="F185" s="373">
        <f>Standard_A0_Cores*Quantity_Tenant3_Standard_A0</f>
        <v>0</v>
      </c>
      <c r="G185" s="373">
        <f>Standard_A0_Cores*Quantity_Tenant4_Standard_A0</f>
        <v>0</v>
      </c>
      <c r="H185" s="373">
        <f>Standard_A0_Cores*Quantity_Tenant5_Standard_A0</f>
        <v>0</v>
      </c>
      <c r="I185" s="373">
        <f>Standard_A0_Cores*Quantity_Tenant6_Standard_A0</f>
        <v>0</v>
      </c>
      <c r="K185" s="479" t="s">
        <v>169</v>
      </c>
      <c r="L185" s="373">
        <f>Standard_A0_Memory*Quantity_Tenant1_Standard_A0</f>
        <v>0</v>
      </c>
      <c r="M185" s="373">
        <f>Standard_A0_Memory*Quantity_Tenant2_Standard_A0</f>
        <v>0</v>
      </c>
      <c r="N185" s="373">
        <f>Standard_A0_Memory*Quantity_Tenant3_Standard_A0</f>
        <v>0</v>
      </c>
      <c r="O185" s="373">
        <f>Standard_A0_Memory*Quantity_Tenant4_Standard_A0</f>
        <v>0</v>
      </c>
      <c r="P185" s="373">
        <f>Standard_A0_Memory*Quantity_Tenant5_Standard_A0</f>
        <v>0</v>
      </c>
      <c r="Q185" s="373">
        <f>Standard_A0_Memory*Quantity_Tenant6_Standard_A0</f>
        <v>0</v>
      </c>
      <c r="R185" s="223">
        <f>IF(Quantity_Tenant6_Standard_A0=0,0,Standard_A0_Memory)</f>
        <v>0</v>
      </c>
    </row>
    <row r="186" spans="3:18" x14ac:dyDescent="0.25">
      <c r="C186" s="480" t="s">
        <v>170</v>
      </c>
      <c r="D186" s="217">
        <f>Standard_A1_Cores*Quantity_Tenant1_Standard_A1</f>
        <v>0</v>
      </c>
      <c r="E186" s="217">
        <f>Standard_A1_Cores*Quantity_Tenant2_Standard_A1</f>
        <v>19</v>
      </c>
      <c r="F186" s="217">
        <f>Standard_A1_Cores*Quantity_Tenant3_Standard_A1</f>
        <v>53</v>
      </c>
      <c r="G186" s="217">
        <f>Standard_A1_Cores*Quantity_Tenant4_Standard_A1</f>
        <v>97</v>
      </c>
      <c r="H186" s="217">
        <f>Standard_A1_Cores*Quantity_Tenant5_Standard_A1</f>
        <v>0</v>
      </c>
      <c r="I186" s="217">
        <f>Standard_A1_Cores*Quantity_Tenant6_Standard_A1</f>
        <v>0</v>
      </c>
      <c r="K186" s="480" t="s">
        <v>170</v>
      </c>
      <c r="L186" s="217">
        <f>Standard_A1_Memory*Quantity_Tenant1_Standard_A1</f>
        <v>0</v>
      </c>
      <c r="M186" s="217">
        <f>Standard_A1_Memory*Quantity_Tenant2_Standard_A1</f>
        <v>33.25</v>
      </c>
      <c r="N186" s="217">
        <f>Standard_A1_Memory*Quantity_Tenant3_Standard_A1</f>
        <v>92.75</v>
      </c>
      <c r="O186" s="217">
        <f>Standard_A1_Memory*Quantity_Tenant4_Standard_A1</f>
        <v>169.75</v>
      </c>
      <c r="P186" s="217">
        <f>Standard_A1_Memory*Quantity_Tenant5_Standard_A1</f>
        <v>0</v>
      </c>
      <c r="Q186" s="217">
        <f>Standard_A1_Memory*Quantity_Tenant6_Standard_A1</f>
        <v>0</v>
      </c>
      <c r="R186" s="223">
        <f>IF(Quantity_Tenant6_Standard_A1=0,0,Standard_A1_Memory)</f>
        <v>0</v>
      </c>
    </row>
    <row r="187" spans="3:18" x14ac:dyDescent="0.25">
      <c r="C187" s="482" t="s">
        <v>171</v>
      </c>
      <c r="D187" s="510">
        <f>Standard_A2_Cores*Quantity_Tenant1_Standard_A2</f>
        <v>0</v>
      </c>
      <c r="E187" s="510">
        <f>Standard_A2_Cores*Quantity_Tenant2_Standard_A2</f>
        <v>24</v>
      </c>
      <c r="F187" s="510">
        <f>Standard_A2_Cores*Quantity_Tenant3_Standard_A2</f>
        <v>84</v>
      </c>
      <c r="G187" s="510">
        <f>Standard_A2_Cores*Quantity_Tenant4_Standard_A2</f>
        <v>164</v>
      </c>
      <c r="H187" s="510">
        <f>Standard_A2_Cores*Quantity_Tenant5_Standard_A2</f>
        <v>0</v>
      </c>
      <c r="I187" s="510">
        <f>Standard_A2_Cores*Quantity_Tenant6_Standard_A2</f>
        <v>0</v>
      </c>
      <c r="K187" s="482" t="s">
        <v>171</v>
      </c>
      <c r="L187" s="510">
        <f>Standard_A2_Memory*Quantity_Tenant1_Standard_A2</f>
        <v>0</v>
      </c>
      <c r="M187" s="510">
        <f>Standard_A2_Memory*Quantity_Tenant2_Standard_A2</f>
        <v>42</v>
      </c>
      <c r="N187" s="510">
        <f>Standard_A2_Memory*Quantity_Tenant3_Standard_A2</f>
        <v>147</v>
      </c>
      <c r="O187" s="510">
        <f>Standard_A2_Memory*Quantity_Tenant4_Standard_A2</f>
        <v>287</v>
      </c>
      <c r="P187" s="510">
        <f>Standard_A2_Memory*Quantity_Tenant5_Standard_A2</f>
        <v>0</v>
      </c>
      <c r="Q187" s="510">
        <f>Standard_A2_Memory*Quantity_Tenant6_Standard_A2</f>
        <v>0</v>
      </c>
      <c r="R187" s="223">
        <f>IF(Quantity_Tenant6_Standard_A2=0,0,Standard_A2_Memory)</f>
        <v>0</v>
      </c>
    </row>
    <row r="188" spans="3:18" x14ac:dyDescent="0.25">
      <c r="C188" s="482" t="s">
        <v>172</v>
      </c>
      <c r="D188" s="510">
        <f>Standard_A3_Cores*Quantity_Tenant1_Standard_A3</f>
        <v>0</v>
      </c>
      <c r="E188" s="510">
        <f>Standard_A3_Cores*Quantity_Tenant2_Standard_A3</f>
        <v>48</v>
      </c>
      <c r="F188" s="510">
        <f>Standard_A3_Cores*Quantity_Tenant3_Standard_A3</f>
        <v>172</v>
      </c>
      <c r="G188" s="510">
        <f>Standard_A3_Cores*Quantity_Tenant4_Standard_A3</f>
        <v>336</v>
      </c>
      <c r="H188" s="510">
        <f>Standard_A3_Cores*Quantity_Tenant5_Standard_A3</f>
        <v>0</v>
      </c>
      <c r="I188" s="510">
        <f>Standard_A3_Cores*Quantity_Tenant6_Standard_A3</f>
        <v>0</v>
      </c>
      <c r="K188" s="482" t="s">
        <v>172</v>
      </c>
      <c r="L188" s="510">
        <f>Standard_A3_Memory*Quantity_Tenant1_Standard_A3</f>
        <v>0</v>
      </c>
      <c r="M188" s="510">
        <f>Standard_A3_Memory*Quantity_Tenant2_Standard_A3</f>
        <v>84</v>
      </c>
      <c r="N188" s="510">
        <f>Standard_A3_Memory*Quantity_Tenant3_Standard_A3</f>
        <v>301</v>
      </c>
      <c r="O188" s="510">
        <f>Standard_A3_Memory*Quantity_Tenant4_Standard_A3</f>
        <v>588</v>
      </c>
      <c r="P188" s="510">
        <f>Standard_A3_Memory*Quantity_Tenant5_Standard_A3</f>
        <v>0</v>
      </c>
      <c r="Q188" s="510">
        <f>Standard_A3_Memory*Quantity_Tenant6_Standard_A3</f>
        <v>0</v>
      </c>
      <c r="R188" s="223">
        <f>IF(Quantity_Tenant6_Standard_A3=0,0,Standard_A3_Memory)</f>
        <v>0</v>
      </c>
    </row>
    <row r="189" spans="3:18" x14ac:dyDescent="0.25">
      <c r="C189" s="482" t="s">
        <v>173</v>
      </c>
      <c r="D189" s="510">
        <f>Standard_A4_Cores*Quantity_Tenant1_Standard_A4</f>
        <v>0</v>
      </c>
      <c r="E189" s="510">
        <f>Standard_A4_Cores*Quantity_Tenant2_Standard_A4</f>
        <v>0</v>
      </c>
      <c r="F189" s="510">
        <f>Standard_A4_Cores*Quantity_Tenant3_Standard_A4</f>
        <v>0</v>
      </c>
      <c r="G189" s="510">
        <f>Standard_A4_Cores*Quantity_Tenant4_Standard_A4</f>
        <v>0</v>
      </c>
      <c r="H189" s="510">
        <f>Standard_A4_Cores*Quantity_Tenant5_Standard_A4</f>
        <v>0</v>
      </c>
      <c r="I189" s="510">
        <f>Standard_A4_Cores*Quantity_Tenant6_Standard_A4</f>
        <v>0</v>
      </c>
      <c r="K189" s="482" t="s">
        <v>173</v>
      </c>
      <c r="L189" s="510">
        <f>Standard_A4_Memory*Quantity_Tenant1_Standard_A4</f>
        <v>0</v>
      </c>
      <c r="M189" s="510">
        <f>Standard_A4_Memory*Quantity_Tenant2_Standard_A4</f>
        <v>0</v>
      </c>
      <c r="N189" s="510">
        <f>Standard_A4_Memory*Quantity_Tenant3_Standard_A4</f>
        <v>0</v>
      </c>
      <c r="O189" s="510">
        <f>Standard_A4_Memory*Quantity_Tenant4_Standard_A4</f>
        <v>0</v>
      </c>
      <c r="P189" s="510">
        <f>Standard_A4_Memory*Quantity_Tenant5_Standard_A4</f>
        <v>0</v>
      </c>
      <c r="Q189" s="510">
        <f>Standard_A4_Memory*Quantity_Tenant6_Standard_A4</f>
        <v>0</v>
      </c>
      <c r="R189" s="223">
        <f>IF(Quantity_Tenant6_Standard_A4=0,0,Standard_A4_Memory)</f>
        <v>0</v>
      </c>
    </row>
    <row r="190" spans="3:18" x14ac:dyDescent="0.25">
      <c r="C190" s="482" t="s">
        <v>175</v>
      </c>
      <c r="D190" s="510">
        <f>Standard_A5_Cores*Quantity_Tenant1_Standard_A5</f>
        <v>0</v>
      </c>
      <c r="E190" s="510">
        <f>Standard_A5_Cores*Quantity_Tenant2_Standard_A5</f>
        <v>0</v>
      </c>
      <c r="F190" s="510">
        <f>Standard_A5_Cores*Quantity_Tenant3_Standard_A5</f>
        <v>0</v>
      </c>
      <c r="G190" s="510">
        <f>Standard_A5_Cores*Quantity_Tenant4_Standard_A5</f>
        <v>0</v>
      </c>
      <c r="H190" s="510">
        <f>Standard_A5_Cores*Quantity_Tenant5_Standard_A5</f>
        <v>0</v>
      </c>
      <c r="I190" s="510">
        <f>Standard_A5_Cores*Quantity_Tenant6_Standard_A5</f>
        <v>0</v>
      </c>
      <c r="K190" s="482" t="s">
        <v>175</v>
      </c>
      <c r="L190" s="510">
        <f>Standard_A5_Memory*Quantity_Tenant1_Standard_A5</f>
        <v>0</v>
      </c>
      <c r="M190" s="510">
        <f>Standard_A5_Memory*Quantity_Tenant2_Standard_A5</f>
        <v>0</v>
      </c>
      <c r="N190" s="510">
        <f>Standard_A5_Memory*Quantity_Tenant3_Standard_A5</f>
        <v>0</v>
      </c>
      <c r="O190" s="510">
        <f>Standard_A5_Memory*Quantity_Tenant4_Standard_A5</f>
        <v>0</v>
      </c>
      <c r="P190" s="510">
        <f>Standard_A5_Memory*Quantity_Tenant5_Standard_A5</f>
        <v>0</v>
      </c>
      <c r="Q190" s="510">
        <f>Standard_A5_Memory*Quantity_Tenant6_Standard_A5</f>
        <v>0</v>
      </c>
      <c r="R190" s="223">
        <f>IF(Quantity_Tenant6_Standard_A5=0,0,Standard_A5_Memory)</f>
        <v>0</v>
      </c>
    </row>
    <row r="191" spans="3:18" x14ac:dyDescent="0.25">
      <c r="C191" s="482" t="s">
        <v>177</v>
      </c>
      <c r="D191" s="510">
        <f>Standard_A6_Cores*Quantity_Tenant1_Standard_A6</f>
        <v>0</v>
      </c>
      <c r="E191" s="510">
        <f>Standard_A6_Cores*Quantity_Tenant2_Standard_A6</f>
        <v>0</v>
      </c>
      <c r="F191" s="510">
        <f>Standard_A6_Cores*Quantity_Tenant3_Standard_A6</f>
        <v>0</v>
      </c>
      <c r="G191" s="510">
        <f>Standard_A6_Cores*Quantity_Tenant4_Standard_A6</f>
        <v>0</v>
      </c>
      <c r="H191" s="510">
        <f>Standard_A6_Cores*Quantity_Tenant5_Standard_A6</f>
        <v>0</v>
      </c>
      <c r="I191" s="510">
        <f>Standard_A6_Cores*Quantity_Tenant6_Standard_A6</f>
        <v>0</v>
      </c>
      <c r="K191" s="482" t="s">
        <v>177</v>
      </c>
      <c r="L191" s="510">
        <f>Standard_A6_Memory*Quantity_Tenant1_Standard_A6</f>
        <v>0</v>
      </c>
      <c r="M191" s="510">
        <f>Standard_A6_Memory*Quantity_Tenant2_Standard_A6</f>
        <v>0</v>
      </c>
      <c r="N191" s="510">
        <f>Standard_A6_Memory*Quantity_Tenant3_Standard_A6</f>
        <v>0</v>
      </c>
      <c r="O191" s="510">
        <f>Standard_A6_Memory*Quantity_Tenant4_Standard_A6</f>
        <v>0</v>
      </c>
      <c r="P191" s="510">
        <f>Standard_A6_Memory*Quantity_Tenant5_Standard_A6</f>
        <v>0</v>
      </c>
      <c r="Q191" s="510">
        <f>Standard_A6_Memory*Quantity_Tenant6_Standard_A6</f>
        <v>0</v>
      </c>
      <c r="R191" s="223">
        <f>IF(Quantity_Tenant6_Standard_A6=0,0,Standard_A6_Memory)</f>
        <v>0</v>
      </c>
    </row>
    <row r="192" spans="3:18" x14ac:dyDescent="0.25">
      <c r="C192" s="482" t="s">
        <v>179</v>
      </c>
      <c r="D192" s="510">
        <f>Standard_A7_Cores*Quantity_Tenant1_Standard_A7</f>
        <v>0</v>
      </c>
      <c r="E192" s="510">
        <f>Standard_A7_Cores*Quantity_Tenant2_Standard_A7</f>
        <v>0</v>
      </c>
      <c r="F192" s="510">
        <f>Standard_A7_Cores*Quantity_Tenant3_Standard_A7</f>
        <v>0</v>
      </c>
      <c r="G192" s="510">
        <f>Standard_A7_Cores*Quantity_Tenant4_Standard_A7</f>
        <v>0</v>
      </c>
      <c r="H192" s="510">
        <f>Standard_A7_Cores*Quantity_Tenant5_Standard_A7</f>
        <v>0</v>
      </c>
      <c r="I192" s="510">
        <f>Standard_A7_Cores*Quantity_Tenant6_Standard_A7</f>
        <v>0</v>
      </c>
      <c r="K192" s="482" t="s">
        <v>179</v>
      </c>
      <c r="L192" s="510">
        <f>Standard_A7_Memory*Quantity_Tenant1_Standard_A7</f>
        <v>0</v>
      </c>
      <c r="M192" s="510">
        <f>Standard_A7_Memory*Quantity_Tenant2_Standard_A7</f>
        <v>0</v>
      </c>
      <c r="N192" s="510">
        <f>Standard_A7_Memory*Quantity_Tenant3_Standard_A7</f>
        <v>0</v>
      </c>
      <c r="O192" s="510">
        <f>Standard_A7_Memory*Quantity_Tenant4_Standard_A7</f>
        <v>0</v>
      </c>
      <c r="P192" s="510">
        <f>Standard_A7_Memory*Quantity_Tenant5_Standard_A7</f>
        <v>0</v>
      </c>
      <c r="Q192" s="510">
        <f>Standard_A7_Memory*Quantity_Tenant6_Standard_A7</f>
        <v>0</v>
      </c>
      <c r="R192" s="223">
        <f>IF(Quantity_Tenant6_Standard_A7=0,0,Standard_A7_Memory)</f>
        <v>0</v>
      </c>
    </row>
    <row r="193" spans="3:31" x14ac:dyDescent="0.25">
      <c r="C193" s="483" t="s">
        <v>183</v>
      </c>
      <c r="D193" s="374">
        <f>Standard_A1_v2_Cores*Quantity_Tenant1_Standard_A1_v2</f>
        <v>0</v>
      </c>
      <c r="E193" s="374">
        <f>Standard_A1_v2_Cores*Quantity_Tenant2_Standard_A1_v2</f>
        <v>0</v>
      </c>
      <c r="F193" s="374">
        <f>Standard_A1_v2_Cores*Quantity_Tenant3_Standard_A1_v2</f>
        <v>0</v>
      </c>
      <c r="G193" s="374">
        <f>Standard_A1_v2_Cores*Quantity_Tenant4_Standard_A1_v2</f>
        <v>0</v>
      </c>
      <c r="H193" s="374">
        <f>Standard_A1_v2_Cores*Quantity_Tenant5_Standard_A1_v2</f>
        <v>0</v>
      </c>
      <c r="I193" s="374">
        <f>Standard_A1_v2_Cores*Quantity_Tenant6_Standard_A1_v2</f>
        <v>0</v>
      </c>
      <c r="K193" s="483" t="s">
        <v>183</v>
      </c>
      <c r="L193" s="374">
        <f>Standard_A1_v2_Memory*Quantity_Tenant1_Standard_A1_v2</f>
        <v>0</v>
      </c>
      <c r="M193" s="374">
        <f>Standard_A1_v2_Memory*Quantity_Tenant2_Standard_A1_v2</f>
        <v>0</v>
      </c>
      <c r="N193" s="374">
        <f>Standard_A1_v2_Memory*Quantity_Tenant3_Standard_A1_v2</f>
        <v>0</v>
      </c>
      <c r="O193" s="374">
        <f>Standard_A1_v2_Memory*Quantity_Tenant4_Standard_A1_v2</f>
        <v>0</v>
      </c>
      <c r="P193" s="374">
        <f>Standard_A1_v2_Memory*Quantity_Tenant5_Standard_A1_v2</f>
        <v>0</v>
      </c>
      <c r="Q193" s="374">
        <f>Standard_A1_v2_Memory*Quantity_Tenant6_Standard_A1_v2</f>
        <v>0</v>
      </c>
      <c r="R193" s="223">
        <f>IF(Quantity_Tenant6_Standard_A1_v2=0,0,Standard_A1_v2_Memory)</f>
        <v>0</v>
      </c>
    </row>
    <row r="194" spans="3:31" x14ac:dyDescent="0.25">
      <c r="C194" s="483" t="s">
        <v>185</v>
      </c>
      <c r="D194" s="374">
        <f>Standard_A2_v2_Cores*Quantity_Tenant1_Standard_A2_v2</f>
        <v>0</v>
      </c>
      <c r="E194" s="374">
        <f>Standard_A1_v2_Cores*Quantity_Tenant2_Standard_A2_v2</f>
        <v>0</v>
      </c>
      <c r="F194" s="374">
        <f>Standard_A2_v2_Cores*Quantity_Tenant3_Standard_A2_v2</f>
        <v>0</v>
      </c>
      <c r="G194" s="374">
        <f>Standard_A2_v2_Cores*Quantity_Tenant4_Standard_A2_v2</f>
        <v>0</v>
      </c>
      <c r="H194" s="374">
        <f>Standard_A2_v2_Cores*Quantity_Tenant5_Standard_A2_v2</f>
        <v>0</v>
      </c>
      <c r="I194" s="374">
        <f>Standard_A2_v2_Cores*Quantity_Tenant6_Standard_A2_v2</f>
        <v>0</v>
      </c>
      <c r="K194" s="483" t="s">
        <v>185</v>
      </c>
      <c r="L194" s="374">
        <f>Standard_A2_v2_Memory*Quantity_Tenant1_Standard_A2_v2</f>
        <v>0</v>
      </c>
      <c r="M194" s="374">
        <f>Standard_A1_v2_Memory*Quantity_Tenant2_Standard_A2_v2</f>
        <v>0</v>
      </c>
      <c r="N194" s="374">
        <f>Standard_A2_v2_Memory*Quantity_Tenant3_Standard_A2_v2</f>
        <v>0</v>
      </c>
      <c r="O194" s="374">
        <f>Standard_A2_v2_Memory*Quantity_Tenant4_Standard_A2_v2</f>
        <v>0</v>
      </c>
      <c r="P194" s="374">
        <f>Standard_A2_v2_Memory*Quantity_Tenant5_Standard_A2_v2</f>
        <v>0</v>
      </c>
      <c r="Q194" s="374">
        <f>Standard_A2_v2_Memory*Quantity_Tenant6_Standard_A2_v2</f>
        <v>0</v>
      </c>
      <c r="R194" s="223">
        <f>IF(Quantity_Tenant6_Standard_A2_v2=0,0,Standard_A2_v2_Memory)</f>
        <v>0</v>
      </c>
    </row>
    <row r="195" spans="3:31" x14ac:dyDescent="0.25">
      <c r="C195" s="484" t="s">
        <v>187</v>
      </c>
      <c r="D195" s="218">
        <f>Standard_A4_v2_Cores*Quantity_Tenant1_Standard_A4_v2</f>
        <v>0</v>
      </c>
      <c r="E195" s="218">
        <f>Standard_A4_v2_Cores*Quantity_Tenant2_Standard_A4_v2</f>
        <v>0</v>
      </c>
      <c r="F195" s="218">
        <f>Standard_A4_v2_Cores*Quantity_Tenant3_Standard_A4_v2</f>
        <v>0</v>
      </c>
      <c r="G195" s="218">
        <f>Standard_A4_v2_Cores*Quantity_Tenant4_Standard_A4_v2</f>
        <v>0</v>
      </c>
      <c r="H195" s="218">
        <f>Standard_A4_v2_Cores*Quantity_Tenant5_Standard_A4_v2</f>
        <v>0</v>
      </c>
      <c r="I195" s="218">
        <f>Standard_A4_v2_Cores*Quantity_Tenant6_Standard_A4_v2</f>
        <v>0</v>
      </c>
      <c r="K195" s="484" t="s">
        <v>187</v>
      </c>
      <c r="L195" s="218">
        <f>Standard_A4_v2_Memory*Quantity_Tenant1_Standard_A4_v2</f>
        <v>0</v>
      </c>
      <c r="M195" s="218">
        <f>Standard_A4_v2_Memory*Quantity_Tenant2_Standard_A4_v2</f>
        <v>0</v>
      </c>
      <c r="N195" s="218">
        <f>Standard_A4_v2_Memory*Quantity_Tenant3_Standard_A4_v2</f>
        <v>0</v>
      </c>
      <c r="O195" s="218">
        <f>Standard_A4_v2_Memory*Quantity_Tenant4_Standard_A4_v2</f>
        <v>0</v>
      </c>
      <c r="P195" s="218">
        <f>Standard_A4_v2_Memory*Quantity_Tenant5_Standard_A4_v2</f>
        <v>0</v>
      </c>
      <c r="Q195" s="218">
        <f>Standard_A4_v2_Memory*Quantity_Tenant6_Standard_A4_v2</f>
        <v>0</v>
      </c>
      <c r="R195" s="223">
        <f>IF(Quantity_Tenant6_Standard_A4_v2=0,0,Standard_A4_v2_Memory)</f>
        <v>0</v>
      </c>
    </row>
    <row r="196" spans="3:31" x14ac:dyDescent="0.25">
      <c r="C196" s="483" t="s">
        <v>189</v>
      </c>
      <c r="D196" s="374">
        <f>Standard_A8_v2_Cores*Quantity_Tenant1_Standard_A8_v2</f>
        <v>0</v>
      </c>
      <c r="E196" s="374">
        <f>Standard_A8_v2_Cores*Quantity_Tenant2_Standard_A8_v2</f>
        <v>0</v>
      </c>
      <c r="F196" s="374">
        <f>Standard_A8_v2_Cores*Quantity_Tenant3_Standard_A8_v2</f>
        <v>0</v>
      </c>
      <c r="G196" s="374">
        <f>Standard_A8_v2_Cores*Quantity_Tenant4_Standard_A8_v2</f>
        <v>0</v>
      </c>
      <c r="H196" s="374">
        <f>Standard_A8_v2_Cores*Quantity_Tenant5_Standard_A8_v2</f>
        <v>0</v>
      </c>
      <c r="I196" s="374">
        <f>Standard_A8_v2_Cores*Quantity_Tenant6_Standard_A8_v2</f>
        <v>0</v>
      </c>
      <c r="K196" s="483" t="s">
        <v>189</v>
      </c>
      <c r="L196" s="374">
        <f>Standard_A8_v2_Memory*Quantity_Tenant1_Standard_A8_v2</f>
        <v>0</v>
      </c>
      <c r="M196" s="374">
        <f>Standard_A8_v2_Memory*Quantity_Tenant2_Standard_A8_v2</f>
        <v>0</v>
      </c>
      <c r="N196" s="374">
        <f>Standard_A8_v2_Memory*Quantity_Tenant3_Standard_A8_v2</f>
        <v>0</v>
      </c>
      <c r="O196" s="374">
        <f>Standard_A8_v2_Memory*Quantity_Tenant4_Standard_A8_v2</f>
        <v>0</v>
      </c>
      <c r="P196" s="374">
        <f>Standard_A8_v2_Memory*Quantity_Tenant5_Standard_A8_v2</f>
        <v>0</v>
      </c>
      <c r="Q196" s="374">
        <f>Standard_A8_v2_Memory*Quantity_Tenant6_Standard_A8_v2</f>
        <v>0</v>
      </c>
      <c r="R196" s="223">
        <f>IF(Quantity_Tenant6_Standard_A8_v2=0,0,Standard_A8_v2_Memory)</f>
        <v>0</v>
      </c>
    </row>
    <row r="197" spans="3:31" x14ac:dyDescent="0.25">
      <c r="C197" s="483" t="s">
        <v>191</v>
      </c>
      <c r="D197" s="374">
        <f>Standard_A2m_v2_Cores*Quantity_Tenant1_Standard_A2m_v2</f>
        <v>0</v>
      </c>
      <c r="E197" s="374">
        <f>Standard_A2m_v2_Cores*Quantity_Tenant2_Standard_A2m_v2</f>
        <v>0</v>
      </c>
      <c r="F197" s="374">
        <f>Standard_A2m_v2_Cores*Quantity_Tenant3_Standard_A2m_v2</f>
        <v>0</v>
      </c>
      <c r="G197" s="374">
        <f>Standard_A2m_v2_Cores*Quantity_Tenant4_Standard_A2m_v2</f>
        <v>0</v>
      </c>
      <c r="H197" s="374">
        <f>Standard_A2m_v2_Cores*Quantity_Tenant5_Standard_A2m_v2</f>
        <v>0</v>
      </c>
      <c r="I197" s="374">
        <f>Standard_A2m_v2_Cores*Quantity_Tenant6_Standard_A2m_v2</f>
        <v>0</v>
      </c>
      <c r="K197" s="483" t="s">
        <v>191</v>
      </c>
      <c r="L197" s="374">
        <f>Standard_A2m_v2_Memory*Quantity_Tenant1_Standard_A2m_v2</f>
        <v>0</v>
      </c>
      <c r="M197" s="374">
        <f>Standard_A2m_v2_Memory*Quantity_Tenant2_Standard_A2m_v2</f>
        <v>0</v>
      </c>
      <c r="N197" s="374">
        <f>Standard_A2m_v2_Memory*Quantity_Tenant3_Standard_A2m_v2</f>
        <v>0</v>
      </c>
      <c r="O197" s="374">
        <f>Standard_A2m_v2_Memory*Quantity_Tenant4_Standard_A2m_v2</f>
        <v>0</v>
      </c>
      <c r="P197" s="374">
        <f>Standard_A2m_v2_Memory*Quantity_Tenant5_Standard_A2m_v2</f>
        <v>0</v>
      </c>
      <c r="Q197" s="374">
        <f>Standard_A2m_v2_Memory*Quantity_Tenant6_Standard_A2m_v2</f>
        <v>0</v>
      </c>
      <c r="R197" s="223">
        <f>IF(Quantity_Tenant6_Standard_A2m_v2=0,0,Standard_A2m_v2_Memory)</f>
        <v>0</v>
      </c>
    </row>
    <row r="198" spans="3:31" x14ac:dyDescent="0.25">
      <c r="C198" s="483" t="s">
        <v>193</v>
      </c>
      <c r="D198" s="374">
        <f>Standard_A4m_v2_Cores*Quantity_Tenant1_Standard_A4m_v2</f>
        <v>0</v>
      </c>
      <c r="E198" s="374">
        <f>Standard_A4m_v2_Cores*Quantity_Tenant2_Standard_A4m_v2</f>
        <v>0</v>
      </c>
      <c r="F198" s="374">
        <f>Standard_A4m_v2_Cores*Quantity_Tenant3_Standard_A4m_v2</f>
        <v>0</v>
      </c>
      <c r="G198" s="374">
        <f>Standard_A4m_v2_Cores*Quantity_Tenant4_Standard_A4m_v2</f>
        <v>0</v>
      </c>
      <c r="H198" s="374">
        <f>Standard_A4m_v2_Cores*Quantity_Tenant5_Standard_A4m_v2</f>
        <v>0</v>
      </c>
      <c r="I198" s="374">
        <f>Standard_A4m_v2_Cores*Quantity_Tenant6_Standard_A4m_v2</f>
        <v>0</v>
      </c>
      <c r="K198" s="483" t="s">
        <v>193</v>
      </c>
      <c r="L198" s="374">
        <f>Standard_A4m_v2_Memory*Quantity_Tenant1_Standard_A4m_v2</f>
        <v>0</v>
      </c>
      <c r="M198" s="374">
        <f>Standard_A4m_v2_Memory*Quantity_Tenant2_Standard_A4m_v2</f>
        <v>0</v>
      </c>
      <c r="N198" s="374">
        <f>Standard_A4m_v2_Memory*Quantity_Tenant3_Standard_A4m_v2</f>
        <v>0</v>
      </c>
      <c r="O198" s="374">
        <f>Standard_A4m_v2_Memory*Quantity_Tenant4_Standard_A4m_v2</f>
        <v>0</v>
      </c>
      <c r="P198" s="374">
        <f>Standard_A4m_v2_Memory*Quantity_Tenant5_Standard_A4m_v2</f>
        <v>0</v>
      </c>
      <c r="Q198" s="374">
        <f>Standard_A4m_v2_Memory*Quantity_Tenant6_Standard_A4m_v2</f>
        <v>0</v>
      </c>
      <c r="R198" s="223">
        <f>IF(Quantity_Tenant6_Standard_A4m_v2=0,0,Standard_A4m_v2_Memory)</f>
        <v>0</v>
      </c>
    </row>
    <row r="199" spans="3:31" x14ac:dyDescent="0.25">
      <c r="C199" s="483" t="s">
        <v>195</v>
      </c>
      <c r="D199" s="374">
        <f>Standard_A8m_v2_Cores*Quantity_Tenant1_Standard_A8m_v2</f>
        <v>0</v>
      </c>
      <c r="E199" s="374">
        <f>Standard_A8m_v2_Cores*Quantity_Tenant2_Standard_A8m_v2</f>
        <v>0</v>
      </c>
      <c r="F199" s="374">
        <f>Standard_A8m_v2_Cores*Quantity_Tenant3_Standard_A8m_v2</f>
        <v>0</v>
      </c>
      <c r="G199" s="374">
        <f>Standard_A8m_v2_Cores*Quantity_Tenant4_Standard_A8m_v2</f>
        <v>0</v>
      </c>
      <c r="H199" s="374">
        <f>Standard_A8m_v2_Cores*Quantity_Tenant5_Standard_A8m_v2</f>
        <v>0</v>
      </c>
      <c r="I199" s="374">
        <f>Standard_A8m_v2_Cores*Quantity_Tenant6_Standard_A8m_v2</f>
        <v>0</v>
      </c>
      <c r="K199" s="483" t="s">
        <v>195</v>
      </c>
      <c r="L199" s="374">
        <f>Standard_A8m_v2_Memory*Quantity_Tenant1_Standard_A8m_v2</f>
        <v>0</v>
      </c>
      <c r="M199" s="374">
        <f>Standard_A8m_v2_Memory*Quantity_Tenant2_Standard_A8m_v2</f>
        <v>0</v>
      </c>
      <c r="N199" s="374">
        <f>Standard_A8m_v2_Memory*Quantity_Tenant3_Standard_A8m_v2</f>
        <v>0</v>
      </c>
      <c r="O199" s="374">
        <f>Standard_A8m_v2_Memory*Quantity_Tenant4_Standard_A8m_v2</f>
        <v>0</v>
      </c>
      <c r="P199" s="374">
        <f>Standard_A8m_v2_Memory*Quantity_Tenant5_Standard_A8m_v2</f>
        <v>0</v>
      </c>
      <c r="Q199" s="374">
        <f>Standard_A8m_v2_Memory*Quantity_Tenant6_Standard_A8m_v2</f>
        <v>0</v>
      </c>
      <c r="R199" s="223">
        <f>IF(Quantity_Tenant6_Standard_A8m_v2=0,0,Standard_A8m_v2_Memory)</f>
        <v>0</v>
      </c>
    </row>
    <row r="200" spans="3:31" x14ac:dyDescent="0.25">
      <c r="C200" s="478" t="s">
        <v>199</v>
      </c>
      <c r="D200" s="372">
        <f>Standard_D1_Cores*Quantity_Tenant1_Standard_D1</f>
        <v>0</v>
      </c>
      <c r="E200" s="372">
        <f>Standard_D1_Cores*Quantity_Tenant2_Standard_D1</f>
        <v>0</v>
      </c>
      <c r="F200" s="372">
        <f>Standard_D1_Cores*Quantity_Tenant3_Standard_D1</f>
        <v>0</v>
      </c>
      <c r="G200" s="372">
        <f>Standard_D1_Cores*Quantity_Tenant4_Standard_D1</f>
        <v>0</v>
      </c>
      <c r="H200" s="372">
        <f>Standard_D1_Cores*Quantity_Tenant5_Standard_D1</f>
        <v>0</v>
      </c>
      <c r="I200" s="372">
        <f>Standard_D1_Cores*Quantity_Tenant6_Standard_D1</f>
        <v>0</v>
      </c>
      <c r="K200" s="478" t="s">
        <v>199</v>
      </c>
      <c r="L200" s="372">
        <f>Standard_D1_Memory*Quantity_Tenant1_Standard_D1</f>
        <v>0</v>
      </c>
      <c r="M200" s="372">
        <f>Standard_D1_Memory*Quantity_Tenant2_Standard_D1</f>
        <v>0</v>
      </c>
      <c r="N200" s="372">
        <f>Standard_D1_Memory*Quantity_Tenant3_Standard_D1</f>
        <v>0</v>
      </c>
      <c r="O200" s="372">
        <f>Standard_D1_Memory*Quantity_Tenant4_Standard_D1</f>
        <v>0</v>
      </c>
      <c r="P200" s="372">
        <f>Standard_D1_Memory*Quantity_Tenant5_Standard_D1</f>
        <v>0</v>
      </c>
      <c r="Q200" s="372">
        <f>Standard_D1_Memory*Quantity_Tenant6_Standard_D1</f>
        <v>0</v>
      </c>
      <c r="R200" s="223">
        <f>IF(Quantity_Tenant6_Standard_D1=0,0,Standard_D1_Memory)</f>
        <v>0</v>
      </c>
      <c r="S200" s="409"/>
    </row>
    <row r="201" spans="3:31" x14ac:dyDescent="0.25">
      <c r="C201" s="478" t="s">
        <v>201</v>
      </c>
      <c r="D201" s="372">
        <f>Standard_D2_Cores*Quantity_Tenant1_Standard_D2</f>
        <v>0</v>
      </c>
      <c r="E201" s="372">
        <f>Standard_D2_Cores*Quantity_Tenant2_Standard_D2</f>
        <v>0</v>
      </c>
      <c r="F201" s="372">
        <f>Standard_D2_Cores*Quantity_Tenant3_Standard_D2</f>
        <v>0</v>
      </c>
      <c r="G201" s="372">
        <f>Standard_D2_Cores*Quantity_Tenant4_Standard_D2</f>
        <v>0</v>
      </c>
      <c r="H201" s="372">
        <f>Standard_D2_Cores*Quantity_Tenant5_Standard_D2</f>
        <v>0</v>
      </c>
      <c r="I201" s="372">
        <f>Standard_D2_Cores*Quantity_Tenant6_Standard_D2</f>
        <v>0</v>
      </c>
      <c r="J201" s="409"/>
      <c r="K201" s="478" t="s">
        <v>201</v>
      </c>
      <c r="L201" s="372">
        <f>Standard_D2_Memory*Quantity_Tenant1_Standard_D2</f>
        <v>0</v>
      </c>
      <c r="M201" s="372">
        <f>Standard_D2_Memory*Quantity_Tenant2_Standard_D2</f>
        <v>0</v>
      </c>
      <c r="N201" s="372">
        <f>Standard_D2_Memory*Quantity_Tenant3_Standard_D2</f>
        <v>0</v>
      </c>
      <c r="O201" s="372">
        <f>Standard_D2_Memory*Quantity_Tenant4_Standard_D2</f>
        <v>0</v>
      </c>
      <c r="P201" s="372">
        <f>Standard_D2_Memory*Quantity_Tenant5_Standard_D2</f>
        <v>0</v>
      </c>
      <c r="Q201" s="372">
        <f>Standard_D2_Memory*Quantity_Tenant6_Standard_D2</f>
        <v>0</v>
      </c>
      <c r="R201" s="223">
        <f>IF(Quantity_Tenant6_Standard_D2=0,0,Standard_D2_Memory)</f>
        <v>0</v>
      </c>
      <c r="S201" s="409"/>
      <c r="T201" s="409"/>
      <c r="U201" s="409"/>
      <c r="V201" s="409"/>
      <c r="W201" s="409"/>
      <c r="X201" s="409"/>
      <c r="Y201" s="485"/>
      <c r="Z201" s="485"/>
      <c r="AA201" s="485"/>
      <c r="AB201" s="485"/>
    </row>
    <row r="202" spans="3:31" x14ac:dyDescent="0.25">
      <c r="C202" s="478" t="s">
        <v>202</v>
      </c>
      <c r="D202" s="372">
        <f>Standard_D3_Cores*Quantity_Tenant1_Standard_D3</f>
        <v>0</v>
      </c>
      <c r="E202" s="372">
        <f>Standard_D3_Cores*Quantity_Tenant2_Standard_D3</f>
        <v>0</v>
      </c>
      <c r="F202" s="372">
        <f>Standard_D3_Cores*Quantity_Tenant3_Standard_D3</f>
        <v>0</v>
      </c>
      <c r="G202" s="372">
        <f>Standard_D3_Cores*Quantity_Tenant4_Standard_D3</f>
        <v>0</v>
      </c>
      <c r="H202" s="372">
        <f>Standard_D3_Cores*Quantity_Tenant5_Standard_D3</f>
        <v>0</v>
      </c>
      <c r="I202" s="372">
        <f>Standard_D3_Cores*Quantity_Tenant6_Standard_D3</f>
        <v>0</v>
      </c>
      <c r="J202" s="409"/>
      <c r="K202" s="478" t="s">
        <v>202</v>
      </c>
      <c r="L202" s="372">
        <f>Standard_D3_Memory*Quantity_Tenant1_Standard_D3</f>
        <v>0</v>
      </c>
      <c r="M202" s="372">
        <f>Standard_D3_Memory*Quantity_Tenant2_Standard_D3</f>
        <v>0</v>
      </c>
      <c r="N202" s="372">
        <f>Standard_D3_Memory*Quantity_Tenant3_Standard_D3</f>
        <v>0</v>
      </c>
      <c r="O202" s="372">
        <f>Standard_D3_Memory*Quantity_Tenant4_Standard_D3</f>
        <v>0</v>
      </c>
      <c r="P202" s="372">
        <f>Standard_D3_Memory*Quantity_Tenant5_Standard_D3</f>
        <v>0</v>
      </c>
      <c r="Q202" s="372">
        <f>Standard_D3_Memory*Quantity_Tenant6_Standard_D3</f>
        <v>0</v>
      </c>
      <c r="R202" s="223">
        <f>IF(Quantity_Tenant6_Standard_D3=0,0,Standard_D3_Memory)</f>
        <v>0</v>
      </c>
      <c r="S202" s="409"/>
      <c r="T202" s="285"/>
      <c r="U202" s="285"/>
      <c r="V202" s="409"/>
      <c r="W202" s="409"/>
      <c r="X202" s="285"/>
    </row>
    <row r="203" spans="3:31" x14ac:dyDescent="0.25">
      <c r="C203" s="486" t="s">
        <v>204</v>
      </c>
      <c r="D203" s="219">
        <f>Standard_D4_Cores*Quantity_Tenant1_Standard_D4</f>
        <v>0</v>
      </c>
      <c r="E203" s="219">
        <f>Standard_D4_Cores*Quantity_Tenant2_Standard_D4</f>
        <v>0</v>
      </c>
      <c r="F203" s="219">
        <f>Standard_D4_Cores*Quantity_Tenant3_Standard_D4</f>
        <v>0</v>
      </c>
      <c r="G203" s="219">
        <f>Standard_D4_Cores*Quantity_Tenant4_Standard_D4</f>
        <v>0</v>
      </c>
      <c r="H203" s="219">
        <f>Standard_D4_Cores*Quantity_Tenant5_Standard_D4</f>
        <v>0</v>
      </c>
      <c r="I203" s="219">
        <f>Standard_D4_Cores*Quantity_Tenant6_Standard_D4</f>
        <v>0</v>
      </c>
      <c r="J203" s="409"/>
      <c r="K203" s="486" t="s">
        <v>204</v>
      </c>
      <c r="L203" s="219">
        <f>Standard_D4_Memory*Quantity_Tenant1_Standard_D4</f>
        <v>0</v>
      </c>
      <c r="M203" s="219">
        <f>Standard_D4_Memory*Quantity_Tenant2_Standard_D4</f>
        <v>0</v>
      </c>
      <c r="N203" s="219">
        <f>Standard_D4_Memory*Quantity_Tenant3_Standard_D4</f>
        <v>0</v>
      </c>
      <c r="O203" s="219">
        <f>Standard_D4_Memory*Quantity_Tenant4_Standard_D4</f>
        <v>0</v>
      </c>
      <c r="P203" s="219">
        <f>Standard_D4_Memory*Quantity_Tenant5_Standard_D4</f>
        <v>0</v>
      </c>
      <c r="Q203" s="219">
        <f>Standard_D4_Memory*Quantity_Tenant6_Standard_D4</f>
        <v>0</v>
      </c>
      <c r="R203" s="223">
        <f>IF(Quantity_Tenant6_Standard_D4=0,0,Standard_D4_Memory)</f>
        <v>0</v>
      </c>
      <c r="S203" s="409"/>
      <c r="T203" s="285"/>
      <c r="U203" s="285"/>
      <c r="V203" s="409"/>
      <c r="W203" s="409"/>
      <c r="X203" s="285"/>
      <c r="AE203" s="346"/>
    </row>
    <row r="204" spans="3:31" x14ac:dyDescent="0.25">
      <c r="C204" s="479" t="s">
        <v>208</v>
      </c>
      <c r="D204" s="373">
        <f>Standard_DS1_Cores*Quantity_Tenant1_Standard_DS1</f>
        <v>0</v>
      </c>
      <c r="E204" s="373">
        <f>Standard_DS1_Cores*Quantity_Tenant2_Standard_DS1</f>
        <v>0</v>
      </c>
      <c r="F204" s="373">
        <f>Standard_DS1_Cores*Quantity_Tenant3_Standard_DS1</f>
        <v>0</v>
      </c>
      <c r="G204" s="373">
        <f>Standard_DS1_Cores*Quantity_Tenant4_Standard_DS1</f>
        <v>0</v>
      </c>
      <c r="H204" s="373">
        <f>Standard_DS1_Cores*Quantity_Tenant5_Standard_DS1</f>
        <v>0</v>
      </c>
      <c r="I204" s="373">
        <f>Standard_DS1_Cores*Quantity_Tenant6_Standard_DS1</f>
        <v>0</v>
      </c>
      <c r="J204" s="409"/>
      <c r="K204" s="479" t="s">
        <v>208</v>
      </c>
      <c r="L204" s="373">
        <f>Standard_DS1_Memory*Quantity_Tenant1_Standard_DS1</f>
        <v>0</v>
      </c>
      <c r="M204" s="373">
        <f>Standard_DS1_Memory*Quantity_Tenant2_Standard_DS1</f>
        <v>0</v>
      </c>
      <c r="N204" s="373">
        <f>Standard_DS1_Memory*Quantity_Tenant3_Standard_DS1</f>
        <v>0</v>
      </c>
      <c r="O204" s="373">
        <f>Standard_DS1_Memory*Quantity_Tenant4_Standard_DS1</f>
        <v>0</v>
      </c>
      <c r="P204" s="373">
        <f>Standard_DS1_Memory*Quantity_Tenant5_Standard_DS1</f>
        <v>0</v>
      </c>
      <c r="Q204" s="373">
        <f>Standard_DS1_Memory*Quantity_Tenant6_Standard_DS1</f>
        <v>0</v>
      </c>
      <c r="R204" s="223">
        <f>IF(Quantity_Tenant6_Standard_DS1=0,0,Standard_DS1_Memory)</f>
        <v>0</v>
      </c>
      <c r="S204" s="409"/>
      <c r="T204" s="285"/>
      <c r="U204" s="285"/>
      <c r="V204" s="409"/>
      <c r="W204" s="409"/>
      <c r="X204" s="285"/>
      <c r="AE204" s="346"/>
    </row>
    <row r="205" spans="3:31" x14ac:dyDescent="0.25">
      <c r="C205" s="479" t="s">
        <v>209</v>
      </c>
      <c r="D205" s="373">
        <f>Standard_DS2_Cores*Quantity_Tenant1_Standard_DS2</f>
        <v>0</v>
      </c>
      <c r="E205" s="373">
        <f>Standard_DS2_Cores*Quantity_Tenant2_Standard_DS2</f>
        <v>0</v>
      </c>
      <c r="F205" s="373">
        <f>Standard_DS2_Cores*Quantity_Tenant3_Standard_DS2</f>
        <v>0</v>
      </c>
      <c r="G205" s="373">
        <f>Standard_DS2_Cores*Quantity_Tenant4_Standard_DS2</f>
        <v>0</v>
      </c>
      <c r="H205" s="373">
        <f>Standard_DS2_Cores*Quantity_Tenant5_Standard_DS2</f>
        <v>0</v>
      </c>
      <c r="I205" s="373">
        <f>Standard_DS2_Cores*Quantity_Tenant6_Standard_DS2</f>
        <v>0</v>
      </c>
      <c r="J205" s="409"/>
      <c r="K205" s="479" t="s">
        <v>209</v>
      </c>
      <c r="L205" s="373">
        <f>Standard_DS2_Memory*Quantity_Tenant1_Standard_DS2</f>
        <v>0</v>
      </c>
      <c r="M205" s="373">
        <f>Standard_DS2_Memory*Quantity_Tenant2_Standard_DS2</f>
        <v>0</v>
      </c>
      <c r="N205" s="373">
        <f>Standard_DS2_Memory*Quantity_Tenant3_Standard_DS2</f>
        <v>0</v>
      </c>
      <c r="O205" s="373">
        <f>Standard_DS2_Memory*Quantity_Tenant4_Standard_DS2</f>
        <v>0</v>
      </c>
      <c r="P205" s="373">
        <f>Standard_DS2_Memory*Quantity_Tenant5_Standard_DS2</f>
        <v>0</v>
      </c>
      <c r="Q205" s="373">
        <f>Standard_DS2_Memory*Quantity_Tenant6_Standard_DS2</f>
        <v>0</v>
      </c>
      <c r="R205" s="223">
        <f>IF(Quantity_Tenant6_Standard_DS2=0,0,Standard_DS2_Memory)</f>
        <v>0</v>
      </c>
      <c r="S205" s="409"/>
      <c r="T205" s="285"/>
      <c r="U205" s="285"/>
      <c r="V205" s="409"/>
      <c r="W205" s="409"/>
      <c r="X205" s="285"/>
      <c r="AE205" s="346"/>
    </row>
    <row r="206" spans="3:31" x14ac:dyDescent="0.25">
      <c r="C206" s="479" t="s">
        <v>210</v>
      </c>
      <c r="D206" s="373">
        <f>Standard_DS3_Cores*Quantity_Tenant1_Standard_DS3</f>
        <v>0</v>
      </c>
      <c r="E206" s="373">
        <f>Standard_DS3_Cores*Quantity_Tenant2_Standard_DS3</f>
        <v>0</v>
      </c>
      <c r="F206" s="373">
        <f>Standard_DS3_Cores*Quantity_Tenant3_Standard_DS3</f>
        <v>0</v>
      </c>
      <c r="G206" s="373">
        <f>Standard_DS3_Cores*Quantity_Tenant4_Standard_DS3</f>
        <v>0</v>
      </c>
      <c r="H206" s="373">
        <f>Standard_DS3_Cores*Quantity_Tenant5_Standard_DS3</f>
        <v>0</v>
      </c>
      <c r="I206" s="373">
        <f>Standard_DS3_Cores*Quantity_Tenant6_Standard_DS3</f>
        <v>0</v>
      </c>
      <c r="J206" s="409"/>
      <c r="K206" s="479" t="s">
        <v>210</v>
      </c>
      <c r="L206" s="373">
        <f>Standard_DS3_Memory*Quantity_Tenant1_Standard_DS3</f>
        <v>0</v>
      </c>
      <c r="M206" s="373">
        <f>Standard_DS3_Memory*Quantity_Tenant2_Standard_DS3</f>
        <v>0</v>
      </c>
      <c r="N206" s="373">
        <f>Standard_DS3_Memory*Quantity_Tenant3_Standard_DS3</f>
        <v>0</v>
      </c>
      <c r="O206" s="373">
        <f>Standard_DS3_Memory*Quantity_Tenant4_Standard_DS3</f>
        <v>0</v>
      </c>
      <c r="P206" s="373">
        <f>Standard_DS3_Memory*Quantity_Tenant5_Standard_DS3</f>
        <v>0</v>
      </c>
      <c r="Q206" s="373">
        <f>Standard_DS3_Memory*Quantity_Tenant6_Standard_DS3</f>
        <v>0</v>
      </c>
      <c r="R206" s="223">
        <f>IF(Quantity_Tenant6_Standard_DS3=0,0,Standard_DS3_Memory)</f>
        <v>0</v>
      </c>
      <c r="S206" s="409"/>
      <c r="T206" s="285"/>
      <c r="U206" s="285"/>
      <c r="V206" s="409"/>
      <c r="W206" s="409"/>
      <c r="X206" s="285"/>
      <c r="AE206" s="346"/>
    </row>
    <row r="207" spans="3:31" x14ac:dyDescent="0.25">
      <c r="C207" s="479" t="s">
        <v>211</v>
      </c>
      <c r="D207" s="373">
        <f>Standard_DS4_Cores*Quantity_Tenant1_Standard_DS4</f>
        <v>0</v>
      </c>
      <c r="E207" s="373">
        <f>Standard_DS4_Cores*Quantity_Tenant2_Standard_DS4</f>
        <v>0</v>
      </c>
      <c r="F207" s="373">
        <f>Standard_DS4_Cores*Quantity_Tenant3_Standard_DS4</f>
        <v>0</v>
      </c>
      <c r="G207" s="373">
        <f>Standard_DS4_Cores*Quantity_Tenant4_Standard_DS4</f>
        <v>0</v>
      </c>
      <c r="H207" s="373">
        <f>Standard_DS4_Cores*Quantity_Tenant5_Standard_DS4</f>
        <v>0</v>
      </c>
      <c r="I207" s="373">
        <f>Standard_DS4_Cores*Quantity_Tenant6_Standard_DS4</f>
        <v>0</v>
      </c>
      <c r="J207" s="409"/>
      <c r="K207" s="479" t="s">
        <v>211</v>
      </c>
      <c r="L207" s="373">
        <f>Standard_DS4_Memory*Quantity_Tenant1_Standard_DS4</f>
        <v>0</v>
      </c>
      <c r="M207" s="373">
        <f>Standard_DS4_Memory*Quantity_Tenant2_Standard_DS4</f>
        <v>0</v>
      </c>
      <c r="N207" s="373">
        <f>Standard_DS4_Memory*Quantity_Tenant3_Standard_DS4</f>
        <v>0</v>
      </c>
      <c r="O207" s="373">
        <f>Standard_DS4_Memory*Quantity_Tenant4_Standard_DS4</f>
        <v>0</v>
      </c>
      <c r="P207" s="373">
        <f>Standard_DS4_Memory*Quantity_Tenant5_Standard_DS4</f>
        <v>0</v>
      </c>
      <c r="Q207" s="373">
        <f>Standard_DS4_Memory*Quantity_Tenant6_Standard_DS4</f>
        <v>0</v>
      </c>
      <c r="R207" s="223">
        <f>IF(Quantity_Tenant6_Standard_DS4=0,0,Standard_DS4_Memory)</f>
        <v>0</v>
      </c>
      <c r="T207" s="285"/>
      <c r="U207" s="285"/>
      <c r="V207" s="409"/>
      <c r="W207" s="409"/>
      <c r="X207" s="285"/>
      <c r="AE207" s="346"/>
    </row>
    <row r="208" spans="3:31" x14ac:dyDescent="0.25">
      <c r="C208" s="487" t="s">
        <v>213</v>
      </c>
      <c r="D208" s="220">
        <f>Standard_D1_v2_Cores*Quantity_Tenant1_Standard_D1_v2</f>
        <v>0</v>
      </c>
      <c r="E208" s="220">
        <f>Standard_D1_v2_Cores*Quantity_Tenant2_Standard_D1_v2</f>
        <v>0</v>
      </c>
      <c r="F208" s="220">
        <f>Standard_D1_v2_Cores*Quantity_Tenant3_Standard_D1_v2</f>
        <v>0</v>
      </c>
      <c r="G208" s="220">
        <f>Standard_D1_v2_Cores*Quantity_Tenant4_Standard_D1_v2</f>
        <v>0</v>
      </c>
      <c r="H208" s="220">
        <f>Standard_D1_v2_Cores*Quantity_Tenant5_Standard_D1_v2</f>
        <v>0</v>
      </c>
      <c r="I208" s="220">
        <f>Standard_D1_v2_Cores*Quantity_Tenant6_Standard_D1_v2</f>
        <v>0</v>
      </c>
      <c r="K208" s="487" t="s">
        <v>213</v>
      </c>
      <c r="L208" s="220">
        <f>Standard_D1_v2_Memory*Quantity_Tenant1_Standard_D1_v2</f>
        <v>0</v>
      </c>
      <c r="M208" s="220">
        <f>Standard_D1_v2_Memory*Quantity_Tenant2_Standard_D1_v2</f>
        <v>0</v>
      </c>
      <c r="N208" s="220">
        <f>Standard_D1_v2_Memory*Quantity_Tenant3_Standard_D1_v2</f>
        <v>0</v>
      </c>
      <c r="O208" s="220">
        <f>Standard_D1_v2_Memory*Quantity_Tenant4_Standard_D1_v2</f>
        <v>0</v>
      </c>
      <c r="P208" s="220">
        <f>Standard_D1_v2_Memory*Quantity_Tenant5_Standard_D1_v2</f>
        <v>0</v>
      </c>
      <c r="Q208" s="220">
        <f>Standard_D1_v2_Memory*Quantity_Tenant6_Standard_D1_v2</f>
        <v>0</v>
      </c>
      <c r="R208" s="223">
        <f>IF(Quantity_Tenant6_Standard_D1_v2=0,0,Standard_D1_v2_Memory)</f>
        <v>0</v>
      </c>
      <c r="AE208" s="346"/>
    </row>
    <row r="209" spans="3:31" x14ac:dyDescent="0.25">
      <c r="C209" s="483" t="s">
        <v>214</v>
      </c>
      <c r="D209" s="374">
        <f>Standard_D2_v2_Cores*Quantity_Tenant1_Standard_D2_v2</f>
        <v>0</v>
      </c>
      <c r="E209" s="374">
        <f>Standard_D2_v2_Cores*Quantity_Tenant2_Standard_D2_v2</f>
        <v>0</v>
      </c>
      <c r="F209" s="374">
        <f>Standard_D2_v2_Cores*Quantity_Tenant3_Standard_D2_v2</f>
        <v>0</v>
      </c>
      <c r="G209" s="374">
        <f>Standard_D2_v2_Cores*Quantity_Tenant4_Standard_D2_v2</f>
        <v>0</v>
      </c>
      <c r="H209" s="374">
        <f>Standard_D2_v2_Cores*Quantity_Tenant5_Standard_D2_v2</f>
        <v>0</v>
      </c>
      <c r="I209" s="374">
        <f>Standard_D2_v2_Cores*Quantity_Tenant6_Standard_D2_v2</f>
        <v>0</v>
      </c>
      <c r="K209" s="483" t="s">
        <v>214</v>
      </c>
      <c r="L209" s="374">
        <f>Standard_D2_v2_Memory*Quantity_Tenant1_Standard_D2_v2</f>
        <v>0</v>
      </c>
      <c r="M209" s="374">
        <f>Standard_D2_v2_Memory*Quantity_Tenant2_Standard_D2_v2</f>
        <v>0</v>
      </c>
      <c r="N209" s="374">
        <f>Standard_D2_v2_Memory*Quantity_Tenant3_Standard_D2_v2</f>
        <v>0</v>
      </c>
      <c r="O209" s="374">
        <f>Standard_D2_v2_Memory*Quantity_Tenant4_Standard_D2_v2</f>
        <v>0</v>
      </c>
      <c r="P209" s="374">
        <f>Standard_D2_v2_Memory*Quantity_Tenant5_Standard_D2_v2</f>
        <v>0</v>
      </c>
      <c r="Q209" s="374">
        <f>Standard_D2_v2_Memory*Quantity_Tenant6_Standard_D2_v2</f>
        <v>0</v>
      </c>
      <c r="R209" s="223">
        <f>IF(Quantity_Tenant6_Standard_D2_v2=0,0,Standard_D2_v2_Memory)</f>
        <v>0</v>
      </c>
    </row>
    <row r="210" spans="3:31" x14ac:dyDescent="0.25">
      <c r="C210" s="483" t="s">
        <v>215</v>
      </c>
      <c r="D210" s="374">
        <f>Standard_D3_v2_Cores*Quantity_Tenant1_Standard_D3_v2</f>
        <v>0</v>
      </c>
      <c r="E210" s="374">
        <f>Standard_D3_v2_Cores*Quantity_Tenant2_Standard_D3_v2</f>
        <v>0</v>
      </c>
      <c r="F210" s="374">
        <f>Standard_D3_v2_Cores*Quantity_Tenant3_Standard_D3_v2</f>
        <v>0</v>
      </c>
      <c r="G210" s="374">
        <f>Standard_D3_v2_Cores*Quantity_Tenant4_Standard_D3_v2</f>
        <v>0</v>
      </c>
      <c r="H210" s="374">
        <f>Standard_D3_v2_Cores*Quantity_Tenant5_Standard_D3_v2</f>
        <v>0</v>
      </c>
      <c r="I210" s="374">
        <f>Standard_D3_v2_Cores*Quantity_Tenant6_Standard_D3_v2</f>
        <v>0</v>
      </c>
      <c r="K210" s="483" t="s">
        <v>215</v>
      </c>
      <c r="L210" s="374">
        <f>Standard_D3_v2_Memory*Quantity_Tenant1_Standard_D3_v2</f>
        <v>0</v>
      </c>
      <c r="M210" s="374">
        <f>Standard_D3_v2_Memory*Quantity_Tenant2_Standard_D3_v2</f>
        <v>0</v>
      </c>
      <c r="N210" s="374">
        <f>Standard_D3_v2_Memory*Quantity_Tenant3_Standard_D3_v2</f>
        <v>0</v>
      </c>
      <c r="O210" s="374">
        <f>Standard_D3_v2_Memory*Quantity_Tenant4_Standard_D3_v2</f>
        <v>0</v>
      </c>
      <c r="P210" s="374">
        <f>Standard_D3_v2_Memory*Quantity_Tenant5_Standard_D3_v2</f>
        <v>0</v>
      </c>
      <c r="Q210" s="374">
        <f>Standard_D3_v2_Memory*Quantity_Tenant6_Standard_D3_v2</f>
        <v>0</v>
      </c>
      <c r="R210" s="223">
        <f>IF(Quantity_Tenant6_Standard_D3_v2=0,0,Standard_D3_v2_Memory)</f>
        <v>0</v>
      </c>
    </row>
    <row r="211" spans="3:31" x14ac:dyDescent="0.25">
      <c r="C211" s="483" t="s">
        <v>216</v>
      </c>
      <c r="D211" s="374">
        <f>Standard_D4_v2_Cores*Quantity_Tenant1_Standard_D4_v2</f>
        <v>0</v>
      </c>
      <c r="E211" s="374">
        <f>Standard_D4_v2_Cores*Quantity_Tenant2_Standard_D4_v2</f>
        <v>0</v>
      </c>
      <c r="F211" s="374">
        <f>Standard_D4_v2_Cores*Quantity_Tenant3_Standard_D4_v2</f>
        <v>0</v>
      </c>
      <c r="G211" s="374">
        <f>Standard_D4_v2_Cores*Quantity_Tenant4_Standard_D4_v2</f>
        <v>0</v>
      </c>
      <c r="H211" s="374">
        <f>Standard_D4_v2_Cores*Quantity_Tenant5_Standard_D4_v2</f>
        <v>0</v>
      </c>
      <c r="I211" s="374">
        <f>Standard_D4_v2_Cores*Quantity_Tenant6_Standard_D4_v2</f>
        <v>0</v>
      </c>
      <c r="K211" s="483" t="s">
        <v>216</v>
      </c>
      <c r="L211" s="374">
        <f>Standard_D4_v2_Memory*Quantity_Tenant1_Standard_D4_v2</f>
        <v>0</v>
      </c>
      <c r="M211" s="374">
        <f>Standard_D4_v2_Memory*Quantity_Tenant2_Standard_D4_v2</f>
        <v>0</v>
      </c>
      <c r="N211" s="374">
        <f>Standard_D4_v2_Memory*Quantity_Tenant3_Standard_D4_v2</f>
        <v>0</v>
      </c>
      <c r="O211" s="374">
        <f>Standard_D4_v2_Memory*Quantity_Tenant4_Standard_D4_v2</f>
        <v>0</v>
      </c>
      <c r="P211" s="374">
        <f>Standard_D4_v2_Memory*Quantity_Tenant5_Standard_D4_v2</f>
        <v>0</v>
      </c>
      <c r="Q211" s="374">
        <f>Standard_D4_v2_Memory*Quantity_Tenant6_Standard_D4_v2</f>
        <v>0</v>
      </c>
      <c r="R211" s="223">
        <f>IF(Quantity_Tenant6_Standard_D4_v2=0,0,Standard_D4_v2_Memory)</f>
        <v>0</v>
      </c>
      <c r="AE211" s="346"/>
    </row>
    <row r="212" spans="3:31" x14ac:dyDescent="0.25">
      <c r="C212" s="483" t="s">
        <v>217</v>
      </c>
      <c r="D212" s="374">
        <f>Standard_D5_v2_Cores*Quantity_Tenant1_Standard_D5_v2</f>
        <v>0</v>
      </c>
      <c r="E212" s="374">
        <f>Standard_D5_v2_Cores*Quantity_Tenant2_Standard_D5_v2</f>
        <v>0</v>
      </c>
      <c r="F212" s="374">
        <f>Standard_D5_v2_Cores*Quantity_Tenant3_Standard_D5_v2</f>
        <v>0</v>
      </c>
      <c r="G212" s="374">
        <f>Standard_D5_v2_Cores*Quantity_Tenant4_Standard_D5_v2</f>
        <v>0</v>
      </c>
      <c r="H212" s="374">
        <f>Standard_D5_v2_Cores*Quantity_Tenant5_Standard_D5_v2</f>
        <v>0</v>
      </c>
      <c r="I212" s="374">
        <f>Standard_D5_v2_Cores*Quantity_Tenant6_Standard_D5_v2</f>
        <v>0</v>
      </c>
      <c r="K212" s="483" t="s">
        <v>217</v>
      </c>
      <c r="L212" s="374">
        <f>Standard_D5_v2_Memory*Quantity_Tenant1_Standard_D5_v2</f>
        <v>0</v>
      </c>
      <c r="M212" s="374">
        <f>Standard_D5_v2_Memory*Quantity_Tenant2_Standard_D5_v2</f>
        <v>0</v>
      </c>
      <c r="N212" s="374">
        <f>Standard_D5_v2_Memory*Quantity_Tenant3_Standard_D5_v2</f>
        <v>0</v>
      </c>
      <c r="O212" s="374">
        <f>Standard_D5_v2_Memory*Quantity_Tenant4_Standard_D5_v2</f>
        <v>0</v>
      </c>
      <c r="P212" s="374">
        <f>Standard_D5_v2_Memory*Quantity_Tenant5_Standard_D5_v2</f>
        <v>0</v>
      </c>
      <c r="Q212" s="374">
        <f>Standard_D5_v2_Memory*Quantity_Tenant6_Standard_D5_v2</f>
        <v>0</v>
      </c>
      <c r="R212" s="223">
        <f>IF(Quantity_Tenant6_Standard_D5_v2=0,0,Standard_D5_v2_Memory)</f>
        <v>0</v>
      </c>
      <c r="AE212" s="346"/>
    </row>
    <row r="213" spans="3:31" x14ac:dyDescent="0.25">
      <c r="C213" s="489" t="s">
        <v>219</v>
      </c>
      <c r="D213" s="221">
        <f>Standard_DS1_v2_Cores*Quantity_Tenant1_Standard_DS1_v2</f>
        <v>1</v>
      </c>
      <c r="E213" s="221">
        <f>Standard_DS1_v2_Cores*Quantity_Tenant2_Standard_DS1_v2</f>
        <v>2</v>
      </c>
      <c r="F213" s="221">
        <f>Standard_DS1_v2_Cores*Quantity_Tenant3_Standard_DS1_v2</f>
        <v>2</v>
      </c>
      <c r="G213" s="221">
        <f>Standard_DS1_v2_Cores*Quantity_Tenant4_Standard_DS1_v2</f>
        <v>2</v>
      </c>
      <c r="H213" s="221">
        <f>Standard_DS1_v2_Cores*Quantity_Tenant5_Standard_DS1_v2</f>
        <v>0</v>
      </c>
      <c r="I213" s="221">
        <f>Standard_DS1_v2_Cores*Quantity_Tenant6_Standard_DS1_v2</f>
        <v>0</v>
      </c>
      <c r="K213" s="489" t="s">
        <v>219</v>
      </c>
      <c r="L213" s="221">
        <f>Standard_DS1_v2_Memory*Quantity_Tenant1_Standard_DS1_v2</f>
        <v>3.5</v>
      </c>
      <c r="M213" s="221">
        <f>Standard_DS1_v2_Memory*Quantity_Tenant2_Standard_DS1_v2</f>
        <v>7</v>
      </c>
      <c r="N213" s="221">
        <f>Standard_DS1_v2_Memory*Quantity_Tenant3_Standard_DS1_v2</f>
        <v>7</v>
      </c>
      <c r="O213" s="221">
        <f>Standard_DS1_v2_Memory*Quantity_Tenant4_Standard_DS1_v2</f>
        <v>7</v>
      </c>
      <c r="P213" s="221">
        <f>Standard_DS1_v2_Memory*Quantity_Tenant5_Standard_DS1_v2</f>
        <v>0</v>
      </c>
      <c r="Q213" s="221">
        <f>Standard_DS1_v2_Memory*Quantity_Tenant6_Standard_DS1_v2</f>
        <v>0</v>
      </c>
      <c r="R213" s="223">
        <f>IF(Quantity_Tenant6_Standard_DS1_v2=0,0,Standard_DS1_v2_Memory)</f>
        <v>0</v>
      </c>
      <c r="AE213" s="346"/>
    </row>
    <row r="214" spans="3:31" x14ac:dyDescent="0.25">
      <c r="C214" s="491" t="s">
        <v>220</v>
      </c>
      <c r="D214" s="511">
        <f>Standard_DS2_v2_Cores*Quantity_Tenant1_Standard_DS2_v2</f>
        <v>0</v>
      </c>
      <c r="E214" s="511">
        <f>Standard_DS2_v2_Cores*Quantity_Tenant2_Standard_DS2_v2</f>
        <v>8</v>
      </c>
      <c r="F214" s="511">
        <f>Standard_DS2_v2_Cores*Quantity_Tenant3_Standard_DS2_v2</f>
        <v>8</v>
      </c>
      <c r="G214" s="511">
        <f>Standard_DS2_v2_Cores*Quantity_Tenant4_Standard_DS2_v2</f>
        <v>8</v>
      </c>
      <c r="H214" s="511">
        <f>Standard_DS2_v2_Cores*Quantity_Tenant5_Standard_DS2_v2</f>
        <v>0</v>
      </c>
      <c r="I214" s="511">
        <f>Standard_DS2_v2_Cores*Quantity_Tenant6_Standard_DS2_v2</f>
        <v>0</v>
      </c>
      <c r="K214" s="491" t="s">
        <v>220</v>
      </c>
      <c r="L214" s="511">
        <f>Standard_DS2_v2_Memory*Quantity_Tenant1_Standard_DS2_v2</f>
        <v>0</v>
      </c>
      <c r="M214" s="511">
        <f>Standard_DS2_v2_Memory*Quantity_Tenant2_Standard_DS2_v2</f>
        <v>28</v>
      </c>
      <c r="N214" s="511">
        <f>Standard_DS2_v2_Memory*Quantity_Tenant3_Standard_DS2_v2</f>
        <v>28</v>
      </c>
      <c r="O214" s="511">
        <f>Standard_DS2_v2_Memory*Quantity_Tenant4_Standard_DS2_v2</f>
        <v>28</v>
      </c>
      <c r="P214" s="511">
        <f>Standard_DS2_v2_Memory*Quantity_Tenant5_Standard_DS2_v2</f>
        <v>0</v>
      </c>
      <c r="Q214" s="511">
        <f>Standard_DS2_v2_Memory*Quantity_Tenant6_Standard_DS2_v2</f>
        <v>0</v>
      </c>
      <c r="R214" s="223">
        <f>IF(Quantity_Tenant6_Standard_DS2_v2=0,0,Standard_DS2_v2_Memory)</f>
        <v>0</v>
      </c>
      <c r="AE214" s="346"/>
    </row>
    <row r="215" spans="3:31" x14ac:dyDescent="0.25">
      <c r="C215" s="491" t="s">
        <v>221</v>
      </c>
      <c r="D215" s="511">
        <f>Standard_DS3_v2_Cores*Quantity_Tenant1_Standard_DS3_v2</f>
        <v>0</v>
      </c>
      <c r="E215" s="511">
        <f>Standard_DS3_v2_Cores*Quantity_Tenant2_Standard_DS3_v2</f>
        <v>0</v>
      </c>
      <c r="F215" s="511">
        <f>Standard_DS3_v2_Cores*Quantity_Tenant3_Standard_DS3_v2</f>
        <v>0</v>
      </c>
      <c r="G215" s="511">
        <f>Standard_DS3_v2_Cores*Quantity_Tenant4_Standard_DS3_v2</f>
        <v>0</v>
      </c>
      <c r="H215" s="511">
        <f>Standard_DS3_v2_Cores*Quantity_Tenant5_Standard_DS3_v2</f>
        <v>0</v>
      </c>
      <c r="I215" s="511">
        <f>Standard_DS3_v2_Cores*Quantity_Tenant6_Standard_DS3_v2</f>
        <v>0</v>
      </c>
      <c r="K215" s="491" t="s">
        <v>221</v>
      </c>
      <c r="L215" s="511">
        <f>Standard_DS3_v2_Memory*Quantity_Tenant1_Standard_DS3_v2</f>
        <v>0</v>
      </c>
      <c r="M215" s="511">
        <f>Standard_DS3_v2_Memory*Quantity_Tenant2_Standard_DS3_v2</f>
        <v>0</v>
      </c>
      <c r="N215" s="511">
        <f>Standard_DS3_v2_Memory*Quantity_Tenant3_Standard_DS3_v2</f>
        <v>0</v>
      </c>
      <c r="O215" s="511">
        <f>Standard_DS3_v2_Memory*Quantity_Tenant4_Standard_DS3_v2</f>
        <v>0</v>
      </c>
      <c r="P215" s="511">
        <f>Standard_DS3_v2_Memory*Quantity_Tenant5_Standard_DS3_v2</f>
        <v>0</v>
      </c>
      <c r="Q215" s="511">
        <f>Standard_DS3_v2_Memory*Quantity_Tenant6_Standard_DS3_v2</f>
        <v>0</v>
      </c>
      <c r="R215" s="223">
        <f>IF(Quantity_Tenant6_Standard_DS3_v2=0,0,Standard_DS3_v2_Memory)</f>
        <v>0</v>
      </c>
      <c r="AE215" s="346"/>
    </row>
    <row r="216" spans="3:31" x14ac:dyDescent="0.25">
      <c r="C216" s="491" t="s">
        <v>222</v>
      </c>
      <c r="D216" s="511">
        <f>Standard_DS4_v2_Cores*Quantity_Tenant1_Standard_DS4_v2</f>
        <v>0</v>
      </c>
      <c r="E216" s="511">
        <f>Standard_DS4_v2_Cores*Quantity_Tenant2_Standard_DS4_v2</f>
        <v>0</v>
      </c>
      <c r="F216" s="511">
        <f>Standard_DS4_v2_Cores*Quantity_Tenant3_Standard_DS4_v2</f>
        <v>0</v>
      </c>
      <c r="G216" s="511">
        <f>Standard_DS4_v2_Cores*Quantity_Tenant4_Standard_DS4_v2</f>
        <v>0</v>
      </c>
      <c r="H216" s="511">
        <f>Standard_DS4_v2_Cores*Quantity_Tenant5_Standard_DS4_v2</f>
        <v>0</v>
      </c>
      <c r="I216" s="511">
        <f>Standard_DS4_v2_Cores*Quantity_Tenant6_Standard_DS4_v2</f>
        <v>0</v>
      </c>
      <c r="K216" s="491" t="s">
        <v>222</v>
      </c>
      <c r="L216" s="511">
        <f>Standard_DS4_v2_Memory*Quantity_Tenant1_Standard_DS4_v2</f>
        <v>0</v>
      </c>
      <c r="M216" s="511">
        <f>Standard_DS4_v2_Memory*Quantity_Tenant2_Standard_DS4_v2</f>
        <v>0</v>
      </c>
      <c r="N216" s="511">
        <f>Standard_DS4_v2_Memory*Quantity_Tenant3_Standard_DS4_v2</f>
        <v>0</v>
      </c>
      <c r="O216" s="511">
        <f>Standard_DS4_v2_Memory*Quantity_Tenant4_Standard_DS4_v2</f>
        <v>0</v>
      </c>
      <c r="P216" s="511">
        <f>Standard_DS4_v2_Memory*Quantity_Tenant5_Standard_DS4_v2</f>
        <v>0</v>
      </c>
      <c r="Q216" s="511">
        <f>Standard_DS4_v2_Memory*Quantity_Tenant6_Standard_DS4_v2</f>
        <v>0</v>
      </c>
      <c r="R216" s="223">
        <f>IF(Quantity_Tenant6_Standard_DS4_v2=0,0,Standard_DS4_v2_Memory)</f>
        <v>0</v>
      </c>
      <c r="AE216" s="346"/>
    </row>
    <row r="217" spans="3:31" x14ac:dyDescent="0.25">
      <c r="C217" s="491" t="s">
        <v>223</v>
      </c>
      <c r="D217" s="511">
        <f>Standard_DS5_v2_Cores*Quantity_Tenant1_Standard_DS5_v2</f>
        <v>0</v>
      </c>
      <c r="E217" s="511">
        <f>Standard_DS5_v2_Cores*Quantity_Tenant2_Standard_DS5_v2</f>
        <v>0</v>
      </c>
      <c r="F217" s="511">
        <f>Standard_DS5_v2_Cores*Quantity_Tenant3_Standard_DS5_v2</f>
        <v>0</v>
      </c>
      <c r="G217" s="511">
        <f>Standard_DS5_v2_Cores*Quantity_Tenant4_Standard_DS5_v2</f>
        <v>0</v>
      </c>
      <c r="H217" s="511">
        <f>Standard_DS5_v2_Cores*Quantity_Tenant5_Standard_DS5_v2</f>
        <v>0</v>
      </c>
      <c r="I217" s="511">
        <f>Standard_DS5_v2_Cores*Quantity_Tenant6_Standard_DS5_v2</f>
        <v>0</v>
      </c>
      <c r="K217" s="491" t="s">
        <v>223</v>
      </c>
      <c r="L217" s="511">
        <f>Standard_DS5_v2_Memory*Quantity_Tenant1_Standard_DS5_v2</f>
        <v>0</v>
      </c>
      <c r="M217" s="511">
        <f>Standard_DS5_v2_Memory*Quantity_Tenant2_Standard_DS5_v2</f>
        <v>0</v>
      </c>
      <c r="N217" s="511">
        <f>Standard_DS5_v2_Memory*Quantity_Tenant3_Standard_DS5_v2</f>
        <v>0</v>
      </c>
      <c r="O217" s="511">
        <f>Standard_DS5_v2_Memory*Quantity_Tenant4_Standard_DS5_v2</f>
        <v>0</v>
      </c>
      <c r="P217" s="511">
        <f>Standard_DS5_v2_Memory*Quantity_Tenant5_Standard_DS5_v2</f>
        <v>0</v>
      </c>
      <c r="Q217" s="511">
        <f>Standard_DS5_v2_Memory*Quantity_Tenant6_Standard_DS5_v2</f>
        <v>0</v>
      </c>
      <c r="R217" s="223">
        <f>IF(Quantity_Tenant6_Standard_DS5_v2=0,0,Standard_DS5_v2_Memory)</f>
        <v>0</v>
      </c>
    </row>
    <row r="218" spans="3:31" x14ac:dyDescent="0.25">
      <c r="C218" s="478" t="s">
        <v>232</v>
      </c>
      <c r="D218" s="372">
        <f>Standard_D2_V3_Cores*Quantity_Tenant1_Standard_D2_V3</f>
        <v>0</v>
      </c>
      <c r="E218" s="372">
        <f>Standard_D2_V3_Cores*Quantity_Tenant2_Standard_D2_V3</f>
        <v>0</v>
      </c>
      <c r="F218" s="372">
        <f>Standard_D2_V3_Cores*Quantity_Tenant3_Standard_D2_V3</f>
        <v>0</v>
      </c>
      <c r="G218" s="372">
        <f>Standard_D2_V3_Cores*Quantity_Tenant4_Standard_D2_V3</f>
        <v>0</v>
      </c>
      <c r="H218" s="372">
        <f>Standard_D2_V3_Cores*Quantity_Tenant5_Standard_D2_V3</f>
        <v>0</v>
      </c>
      <c r="I218" s="372">
        <f>Standard_D2_V3_Cores*Quantity_Tenant6_Standard_D2_V3</f>
        <v>0</v>
      </c>
      <c r="K218" s="478" t="s">
        <v>232</v>
      </c>
      <c r="L218" s="372">
        <f>Standard_D2_V3_Memory*Quantity_Tenant1_Standard_D2_V3</f>
        <v>0</v>
      </c>
      <c r="M218" s="372">
        <f>Standard_D2_V3_Memory*Quantity_Tenant2_Standard_D2_V3</f>
        <v>0</v>
      </c>
      <c r="N218" s="372">
        <f>Standard_D2_V3_Memory*Quantity_Tenant3_Standard_D2_V3</f>
        <v>0</v>
      </c>
      <c r="O218" s="372">
        <f>Standard_D2_V3_Memory*Quantity_Tenant4_Standard_D2_V3</f>
        <v>0</v>
      </c>
      <c r="P218" s="372">
        <f>Standard_D2_V3_Memory*Quantity_Tenant5_Standard_D2_V3</f>
        <v>0</v>
      </c>
      <c r="Q218" s="372">
        <f>Standard_D2_V3_Memory*Quantity_Tenant6_Standard_D2_V3</f>
        <v>0</v>
      </c>
      <c r="R218" s="223">
        <f>IF(Quantity_Tenant6_Standard_D2_V3=0,0,Standard_D2_V3_Memory)</f>
        <v>0</v>
      </c>
    </row>
    <row r="219" spans="3:31" x14ac:dyDescent="0.25">
      <c r="C219" s="478" t="s">
        <v>233</v>
      </c>
      <c r="D219" s="372">
        <f>Standard_D4_V3_Cores*Quantity_Tenant1_Standard_D4_V3</f>
        <v>0</v>
      </c>
      <c r="E219" s="372">
        <f>Standard_D4_V3_Cores*Quantity_Tenant2_Standard_D4_V3</f>
        <v>0</v>
      </c>
      <c r="F219" s="372">
        <f>Standard_D4_V3_Cores*Quantity_Tenant3_Standard_D4_V3</f>
        <v>0</v>
      </c>
      <c r="G219" s="372">
        <f>Standard_D4_V3_Cores*Quantity_Tenant4_Standard_D4_V3</f>
        <v>0</v>
      </c>
      <c r="H219" s="372">
        <f>Standard_D4_V3_Cores*Quantity_Tenant5_Standard_D4_V3</f>
        <v>0</v>
      </c>
      <c r="I219" s="372">
        <f>Standard_D4_V3_Cores*Quantity_Tenant6_Standard_D4_V3</f>
        <v>0</v>
      </c>
      <c r="K219" s="478" t="s">
        <v>233</v>
      </c>
      <c r="L219" s="372">
        <f>Standard_D4_V3_Memory*Quantity_Tenant1_Standard_D4_V3</f>
        <v>0</v>
      </c>
      <c r="M219" s="372">
        <f>Standard_D4_V3_Memory*Quantity_Tenant2_Standard_D4_V3</f>
        <v>0</v>
      </c>
      <c r="N219" s="372">
        <f>Standard_D4_V3_Memory*Quantity_Tenant3_Standard_D4_V3</f>
        <v>0</v>
      </c>
      <c r="O219" s="372">
        <f>Standard_D4_V3_Memory*Quantity_Tenant4_Standard_D4_V3</f>
        <v>0</v>
      </c>
      <c r="P219" s="372">
        <f>Standard_D4_V3_Memory*Quantity_Tenant5_Standard_D4_V3</f>
        <v>0</v>
      </c>
      <c r="Q219" s="372">
        <f>Standard_D4_V3_Memory*Quantity_Tenant6_Standard_D4_V3</f>
        <v>0</v>
      </c>
      <c r="R219" s="223">
        <f>IF(Quantity_Tenant6_Standard_D4_V3=0,0,Standard_D4_V3_Memory)</f>
        <v>0</v>
      </c>
    </row>
    <row r="220" spans="3:31" x14ac:dyDescent="0.25">
      <c r="C220" s="478" t="s">
        <v>234</v>
      </c>
      <c r="D220" s="372">
        <f>Standard_D8_V3_Cores*Quantity_Tenant1_Standard_D8_V3</f>
        <v>0</v>
      </c>
      <c r="E220" s="372">
        <f>Standard_D8_V3_Cores*Quantity_Tenant2_Standard_D8_V3</f>
        <v>0</v>
      </c>
      <c r="F220" s="372">
        <f>Standard_D8_V3_Cores*Quantity_Tenant3_Standard_D8_V3</f>
        <v>0</v>
      </c>
      <c r="G220" s="372">
        <f>Standard_D8_V3_Cores*Quantity_Tenant4_Standard_D8_V3</f>
        <v>0</v>
      </c>
      <c r="H220" s="372">
        <f>Standard_D8_V3_Cores*Quantity_Tenant5_Standard_D8_V3</f>
        <v>0</v>
      </c>
      <c r="I220" s="372">
        <f>Standard_D8_V3_Cores*Quantity_Tenant6_Standard_D8_V3</f>
        <v>0</v>
      </c>
      <c r="K220" s="478" t="s">
        <v>234</v>
      </c>
      <c r="L220" s="372">
        <f>Standard_D8_V3_Memory*Quantity_Tenant1_Standard_D8_V3</f>
        <v>0</v>
      </c>
      <c r="M220" s="372">
        <f>Standard_D8_V3_Memory*Quantity_Tenant2_Standard_D8_V3</f>
        <v>0</v>
      </c>
      <c r="N220" s="372">
        <f>Standard_D8_V3_Memory*Quantity_Tenant3_Standard_D8_V3</f>
        <v>0</v>
      </c>
      <c r="O220" s="372">
        <f>Standard_D8_V3_Memory*Quantity_Tenant4_Standard_D8_V3</f>
        <v>0</v>
      </c>
      <c r="P220" s="372">
        <f>Standard_D8_V3_Memory*Quantity_Tenant5_Standard_D8_V3</f>
        <v>0</v>
      </c>
      <c r="Q220" s="372">
        <f>Standard_D8_V3_Memory*Quantity_Tenant6_Standard_D8_V3</f>
        <v>0</v>
      </c>
      <c r="R220" s="223">
        <f>IF(Quantity_Tenant6_Standard_D8_V3=0,0,Standard_D8_V3_Memory)</f>
        <v>0</v>
      </c>
    </row>
    <row r="221" spans="3:31" x14ac:dyDescent="0.25">
      <c r="C221" s="478" t="s">
        <v>235</v>
      </c>
      <c r="D221" s="372">
        <f>Standard_D16_V3_Cores*Quantity_Tenant1_Standard_D16_V3</f>
        <v>0</v>
      </c>
      <c r="E221" s="372">
        <f>Standard_D16_V3_Cores*Quantity_Tenant2_Standard_D16_V3</f>
        <v>0</v>
      </c>
      <c r="F221" s="372">
        <f>Standard_D16_V3_Cores*Quantity_Tenant3_Standard_D16_V3</f>
        <v>0</v>
      </c>
      <c r="G221" s="372">
        <f>Standard_D16_V3_Cores*Quantity_Tenant4_Standard_D16_V3</f>
        <v>0</v>
      </c>
      <c r="H221" s="372">
        <f>Standard_D16_V3_Cores*Quantity_Tenant5_Standard_D16_V3</f>
        <v>0</v>
      </c>
      <c r="I221" s="372">
        <f>Standard_D16_V3_Cores*Quantity_Tenant6_Standard_D16_V3</f>
        <v>0</v>
      </c>
      <c r="K221" s="478" t="s">
        <v>235</v>
      </c>
      <c r="L221" s="372">
        <f>Standard_D16_V3_Memory*Quantity_Tenant1_Standard_D16_V3</f>
        <v>0</v>
      </c>
      <c r="M221" s="372">
        <f>Standard_D16_V3_Memory*Quantity_Tenant2_Standard_D16_V3</f>
        <v>0</v>
      </c>
      <c r="N221" s="372">
        <f>Standard_D16_V3_Memory*Quantity_Tenant3_Standard_D16_V3</f>
        <v>0</v>
      </c>
      <c r="O221" s="372">
        <f>Standard_D16_V3_Memory*Quantity_Tenant4_Standard_D16_V3</f>
        <v>0</v>
      </c>
      <c r="P221" s="372">
        <f>Standard_D16_V3_Memory*Quantity_Tenant5_Standard_D16_V3</f>
        <v>0</v>
      </c>
      <c r="Q221" s="372">
        <f>Standard_D16_V3_Memory*Quantity_Tenant6_Standard_D16_V3</f>
        <v>0</v>
      </c>
      <c r="R221" s="223">
        <f>IF(Quantity_Tenant6_Standard_D16_V3=0,0,Standard_D16_V3_Memory)</f>
        <v>0</v>
      </c>
    </row>
    <row r="222" spans="3:31" x14ac:dyDescent="0.25">
      <c r="C222" s="478" t="s">
        <v>236</v>
      </c>
      <c r="D222" s="372">
        <f>Standard_D32_V3_Cores*Quantity_Tenant1_Standard_D32_V3</f>
        <v>0</v>
      </c>
      <c r="E222" s="372">
        <f>Standard_D32_V3_Cores*Quantity_Tenant2_Standard_D32_V3</f>
        <v>0</v>
      </c>
      <c r="F222" s="372">
        <f>Standard_D32_V3_Cores*Quantity_Tenant3_Standard_D32_V3</f>
        <v>0</v>
      </c>
      <c r="G222" s="372">
        <f>Standard_D32_V3_Cores*Quantity_Tenant4_Standard_D32_V3</f>
        <v>0</v>
      </c>
      <c r="H222" s="372">
        <f>Standard_D32_V3_Cores*Quantity_Tenant5_Standard_D32_V3</f>
        <v>0</v>
      </c>
      <c r="I222" s="372">
        <f>Standard_D32_V3_Cores*Quantity_Tenant6_Standard_D32_V3</f>
        <v>0</v>
      </c>
      <c r="K222" s="478" t="s">
        <v>236</v>
      </c>
      <c r="L222" s="372">
        <f>Standard_D32_V3_Memory*Quantity_Tenant1_Standard_D32_V3</f>
        <v>0</v>
      </c>
      <c r="M222" s="372">
        <f>Standard_D32_V3_Memory*Quantity_Tenant2_Standard_D32_V3</f>
        <v>0</v>
      </c>
      <c r="N222" s="372">
        <f>Standard_D32_V3_Memory*Quantity_Tenant3_Standard_D32_V3</f>
        <v>0</v>
      </c>
      <c r="O222" s="372">
        <f>Standard_D32_V3_Memory*Quantity_Tenant4_Standard_D32_V3</f>
        <v>0</v>
      </c>
      <c r="P222" s="372">
        <f>Standard_D32_V3_Memory*Quantity_Tenant5_Standard_D32_V3</f>
        <v>0</v>
      </c>
      <c r="Q222" s="372">
        <f>Standard_D32_V3_Memory*Quantity_Tenant6_Standard_D32_V3</f>
        <v>0</v>
      </c>
      <c r="R222" s="223">
        <f>IF(Quantity_Tenant6_Standard_D32_V3=0,0,Standard_D32_V3_Memory)</f>
        <v>0</v>
      </c>
    </row>
    <row r="223" spans="3:31" x14ac:dyDescent="0.25">
      <c r="C223" s="483" t="s">
        <v>238</v>
      </c>
      <c r="D223" s="374">
        <f>Standard_D11_Cores*Quantity_Tenant1_Standard_D11</f>
        <v>0</v>
      </c>
      <c r="E223" s="374">
        <f>Standard_D11_Cores*Quantity_Tenant2_Standard_D11</f>
        <v>0</v>
      </c>
      <c r="F223" s="374">
        <f>Standard_D11_Cores*Quantity_Tenant3_Standard_D11</f>
        <v>0</v>
      </c>
      <c r="G223" s="374">
        <f>Standard_D11_Cores*Quantity_Tenant4_Standard_D11</f>
        <v>0</v>
      </c>
      <c r="H223" s="374">
        <f>Standard_D11_Cores*Quantity_Tenant5_Standard_D11</f>
        <v>0</v>
      </c>
      <c r="I223" s="374">
        <f>Standard_D11_Cores*Quantity_Tenant6_Standard_D11</f>
        <v>0</v>
      </c>
      <c r="K223" s="483" t="s">
        <v>238</v>
      </c>
      <c r="L223" s="374">
        <f>Standard_D11_Memory*Quantity_Tenant1_Standard_D11</f>
        <v>0</v>
      </c>
      <c r="M223" s="374">
        <f>Standard_D11_Memory*Quantity_Tenant2_Standard_D11</f>
        <v>0</v>
      </c>
      <c r="N223" s="374">
        <f>Standard_D11_Memory*Quantity_Tenant3_Standard_D11</f>
        <v>0</v>
      </c>
      <c r="O223" s="374">
        <f>Standard_D11_Memory*Quantity_Tenant4_Standard_D11</f>
        <v>0</v>
      </c>
      <c r="P223" s="374">
        <f>Standard_D11_Memory*Quantity_Tenant5_Standard_D11</f>
        <v>0</v>
      </c>
      <c r="Q223" s="374">
        <f>Standard_D11_Memory*Quantity_Tenant6_Standard_D11</f>
        <v>0</v>
      </c>
      <c r="R223" s="223">
        <f>IF(Quantity_Tenant6_Standard_D11=0,0,Standard_D11_Memory)</f>
        <v>0</v>
      </c>
    </row>
    <row r="224" spans="3:31" x14ac:dyDescent="0.25">
      <c r="C224" s="483" t="s">
        <v>240</v>
      </c>
      <c r="D224" s="374">
        <f>Standard_D12_Cores*Quantity_Tenant1_Standard_D12</f>
        <v>0</v>
      </c>
      <c r="E224" s="374">
        <f>Standard_D12_Cores*Quantity_Tenant2_Standard_D12</f>
        <v>0</v>
      </c>
      <c r="F224" s="374">
        <f>Standard_D12_Cores*Quantity_Tenant3_Standard_D12</f>
        <v>0</v>
      </c>
      <c r="G224" s="374">
        <f>Standard_D12_Cores*Quantity_Tenant4_Standard_D12</f>
        <v>0</v>
      </c>
      <c r="H224" s="374">
        <f>Standard_D12_Cores*Quantity_Tenant5_Standard_D12</f>
        <v>0</v>
      </c>
      <c r="I224" s="374">
        <f>Standard_D12_Cores*Quantity_Tenant6_Standard_D12</f>
        <v>0</v>
      </c>
      <c r="K224" s="483" t="s">
        <v>240</v>
      </c>
      <c r="L224" s="374">
        <f>Standard_D12_Memory*Quantity_Tenant1_Standard_D12</f>
        <v>0</v>
      </c>
      <c r="M224" s="374">
        <f>Standard_D12_Memory*Quantity_Tenant2_Standard_D12</f>
        <v>0</v>
      </c>
      <c r="N224" s="374">
        <f>Standard_D12_Memory*Quantity_Tenant3_Standard_D12</f>
        <v>0</v>
      </c>
      <c r="O224" s="374">
        <f>Standard_D12_Memory*Quantity_Tenant4_Standard_D12</f>
        <v>0</v>
      </c>
      <c r="P224" s="374">
        <f>Standard_D12_Memory*Quantity_Tenant5_Standard_D12</f>
        <v>0</v>
      </c>
      <c r="Q224" s="374">
        <f>Standard_D12_Memory*Quantity_Tenant6_Standard_D12</f>
        <v>0</v>
      </c>
      <c r="R224" s="223">
        <f>IF(Quantity_Tenant6_Standard_D12=0,0,Standard_D12_Memory)</f>
        <v>0</v>
      </c>
      <c r="AE224" s="346"/>
    </row>
    <row r="225" spans="3:31" x14ac:dyDescent="0.25">
      <c r="C225" s="483" t="s">
        <v>242</v>
      </c>
      <c r="D225" s="374">
        <f>Standard_D13_Cores*Quantity_Tenant1_Standard_D13</f>
        <v>0</v>
      </c>
      <c r="E225" s="374">
        <f>Standard_D13_Cores*Quantity_Tenant2_Standard_D13</f>
        <v>0</v>
      </c>
      <c r="F225" s="374">
        <f>Standard_D13_Cores*Quantity_Tenant3_Standard_D13</f>
        <v>0</v>
      </c>
      <c r="G225" s="374">
        <f>Standard_D13_Cores*Quantity_Tenant4_Standard_D13</f>
        <v>0</v>
      </c>
      <c r="H225" s="374">
        <f>Standard_D13_Cores*Quantity_Tenant5_Standard_D13</f>
        <v>0</v>
      </c>
      <c r="I225" s="374">
        <f>Standard_D13_Cores*Quantity_Tenant6_Standard_D13</f>
        <v>0</v>
      </c>
      <c r="K225" s="483" t="s">
        <v>242</v>
      </c>
      <c r="L225" s="374">
        <f>Standard_D13_Memory*Quantity_Tenant1_Standard_D13</f>
        <v>0</v>
      </c>
      <c r="M225" s="374">
        <f>Standard_D13_Memory*Quantity_Tenant2_Standard_D13</f>
        <v>0</v>
      </c>
      <c r="N225" s="374">
        <f>Standard_D13_Memory*Quantity_Tenant3_Standard_D13</f>
        <v>0</v>
      </c>
      <c r="O225" s="374">
        <f>Standard_D13_Memory*Quantity_Tenant4_Standard_D13</f>
        <v>0</v>
      </c>
      <c r="P225" s="374">
        <f>Standard_D13_Memory*Quantity_Tenant5_Standard_D13</f>
        <v>0</v>
      </c>
      <c r="Q225" s="374">
        <f>Standard_D13_Memory*Quantity_Tenant6_Standard_D13</f>
        <v>0</v>
      </c>
      <c r="R225" s="223">
        <f>IF(Quantity_Tenant6_Standard_D13=0,0,Standard_D13_Memory)</f>
        <v>0</v>
      </c>
      <c r="AE225" s="346"/>
    </row>
    <row r="226" spans="3:31" x14ac:dyDescent="0.25">
      <c r="C226" s="483" t="s">
        <v>244</v>
      </c>
      <c r="D226" s="374">
        <f>Standard_D14_Cores*Quantity_Tenant1_Standard_D14</f>
        <v>0</v>
      </c>
      <c r="E226" s="374">
        <f>Standard_D14_Cores*Quantity_Tenant2_Standard_D14</f>
        <v>0</v>
      </c>
      <c r="F226" s="374">
        <f>Standard_D14_Cores*Quantity_Tenant3_Standard_D14</f>
        <v>0</v>
      </c>
      <c r="G226" s="374">
        <f>Standard_D14_Cores*Quantity_Tenant4_Standard_D14</f>
        <v>0</v>
      </c>
      <c r="H226" s="374">
        <f>Standard_D14_Cores*Quantity_Tenant5_Standard_D14</f>
        <v>0</v>
      </c>
      <c r="I226" s="374">
        <f>Standard_D14_Cores*Quantity_Tenant6_Standard_D14</f>
        <v>0</v>
      </c>
      <c r="K226" s="483" t="s">
        <v>244</v>
      </c>
      <c r="L226" s="374">
        <f>Standard_D14_Memory*Quantity_Tenant1_Standard_D14</f>
        <v>0</v>
      </c>
      <c r="M226" s="374">
        <f>Standard_D14_Memory*Quantity_Tenant2_Standard_D14</f>
        <v>0</v>
      </c>
      <c r="N226" s="374">
        <f>Standard_D14_Memory*Quantity_Tenant3_Standard_D14</f>
        <v>0</v>
      </c>
      <c r="O226" s="374">
        <f>Standard_D14_Memory*Quantity_Tenant4_Standard_D14</f>
        <v>0</v>
      </c>
      <c r="P226" s="374">
        <f>Standard_D14_Memory*Quantity_Tenant5_Standard_D14</f>
        <v>0</v>
      </c>
      <c r="Q226" s="374">
        <f>Standard_D14_Memory*Quantity_Tenant6_Standard_D14</f>
        <v>0</v>
      </c>
      <c r="R226" s="223">
        <f>IF(Quantity_Tenant6_Standard_D14=0,0,Standard_D14_Memory)</f>
        <v>0</v>
      </c>
      <c r="AE226" s="346"/>
    </row>
    <row r="227" spans="3:31" x14ac:dyDescent="0.25">
      <c r="C227" s="479" t="s">
        <v>247</v>
      </c>
      <c r="D227" s="373">
        <f>Standard_DS11_Cores*Quantity_Tenant1_Standard_DS11</f>
        <v>0</v>
      </c>
      <c r="E227" s="373">
        <f>Standard_DS11_Cores*Quantity_Tenant2_Standard_DS11</f>
        <v>0</v>
      </c>
      <c r="F227" s="373">
        <f>Standard_DS11_Cores*Quantity_Tenant3_Standard_DS11</f>
        <v>0</v>
      </c>
      <c r="G227" s="373">
        <f>Standard_DS11_Cores*Quantity_Tenant4_Standard_DS11</f>
        <v>0</v>
      </c>
      <c r="H227" s="373">
        <f>Standard_DS11_Cores*Quantity_Tenant5_Standard_DS11</f>
        <v>0</v>
      </c>
      <c r="I227" s="373">
        <f>Standard_DS11_Cores*Quantity_Tenant6_Standard_DS11</f>
        <v>0</v>
      </c>
      <c r="K227" s="479" t="s">
        <v>247</v>
      </c>
      <c r="L227" s="373">
        <f>Standard_DS11_Memory*Quantity_Tenant1_Standard_DS11</f>
        <v>0</v>
      </c>
      <c r="M227" s="373">
        <f>Standard_DS11_Memory*Quantity_Tenant2_Standard_DS11</f>
        <v>0</v>
      </c>
      <c r="N227" s="373">
        <f>Standard_DS11_Memory*Quantity_Tenant3_Standard_DS11</f>
        <v>0</v>
      </c>
      <c r="O227" s="373">
        <f>Standard_DS11_Memory*Quantity_Tenant4_Standard_DS11</f>
        <v>0</v>
      </c>
      <c r="P227" s="373">
        <f>Standard_DS11_Memory*Quantity_Tenant5_Standard_DS11</f>
        <v>0</v>
      </c>
      <c r="Q227" s="373">
        <f>Standard_DS11_Memory*Quantity_Tenant6_Standard_DS11</f>
        <v>0</v>
      </c>
      <c r="R227" s="223">
        <f>IF(Quantity_Tenant6_Standard_DS11=0,0,Standard_DS11_Memory)</f>
        <v>0</v>
      </c>
      <c r="AE227" s="346"/>
    </row>
    <row r="228" spans="3:31" x14ac:dyDescent="0.25">
      <c r="C228" s="479" t="s">
        <v>251</v>
      </c>
      <c r="D228" s="373">
        <f>Standard_DS12_Cores*Quantity_Tenant1_Standard_DS12</f>
        <v>0</v>
      </c>
      <c r="E228" s="373">
        <f>Standard_DS12_Cores*Quantity_Tenant2_Standard_DS12</f>
        <v>0</v>
      </c>
      <c r="F228" s="373">
        <f>Standard_DS12_Cores*Quantity_Tenant3_Standard_DS12</f>
        <v>0</v>
      </c>
      <c r="G228" s="373">
        <f>Standard_DS12_Cores*Quantity_Tenant4_Standard_DS12</f>
        <v>0</v>
      </c>
      <c r="H228" s="373">
        <f>Standard_DS12_Cores*Quantity_Tenant5_Standard_DS12</f>
        <v>0</v>
      </c>
      <c r="I228" s="373">
        <f>Standard_DS12_Cores*Quantity_Tenant6_Standard_DS12</f>
        <v>0</v>
      </c>
      <c r="K228" s="479" t="s">
        <v>251</v>
      </c>
      <c r="L228" s="373">
        <f>Standard_DS12_Memory*Quantity_Tenant1_Standard_DS12</f>
        <v>0</v>
      </c>
      <c r="M228" s="373">
        <f>Standard_DS12_Memory*Quantity_Tenant2_Standard_DS12</f>
        <v>0</v>
      </c>
      <c r="N228" s="373">
        <f>Standard_DS12_Memory*Quantity_Tenant3_Standard_DS12</f>
        <v>0</v>
      </c>
      <c r="O228" s="373">
        <f>Standard_DS12_Memory*Quantity_Tenant4_Standard_DS12</f>
        <v>0</v>
      </c>
      <c r="P228" s="373">
        <f>Standard_DS12_Memory*Quantity_Tenant5_Standard_DS12</f>
        <v>0</v>
      </c>
      <c r="Q228" s="373">
        <f>Standard_DS12_Memory*Quantity_Tenant6_Standard_DS12</f>
        <v>0</v>
      </c>
      <c r="R228" s="223">
        <f>IF(Quantity_Tenant6_Standard_DS12=0,0,Standard_DS12_Memory)</f>
        <v>0</v>
      </c>
      <c r="AE228" s="346"/>
    </row>
    <row r="229" spans="3:31" x14ac:dyDescent="0.25">
      <c r="C229" s="479" t="s">
        <v>253</v>
      </c>
      <c r="D229" s="373">
        <f>Standard_DS13_Cores*Quantity_Tenant1_Standard_DS13</f>
        <v>0</v>
      </c>
      <c r="E229" s="373">
        <f>Standard_DS13_Cores*Quantity_Tenant2_Standard_DS13</f>
        <v>0</v>
      </c>
      <c r="F229" s="373">
        <f>Standard_DS13_Cores*Quantity_Tenant3_Standard_DS13</f>
        <v>0</v>
      </c>
      <c r="G229" s="373">
        <f>Standard_DS13_Cores*Quantity_Tenant4_Standard_DS13</f>
        <v>0</v>
      </c>
      <c r="H229" s="373">
        <f>Standard_DS13_Cores*Quantity_Tenant5_Standard_DS13</f>
        <v>0</v>
      </c>
      <c r="I229" s="373">
        <f>Standard_DS13_Cores*Quantity_Tenant6_Standard_DS13</f>
        <v>0</v>
      </c>
      <c r="K229" s="479" t="s">
        <v>253</v>
      </c>
      <c r="L229" s="373">
        <f>Standard_DS13_Memory*Quantity_Tenant1_Standard_DS13</f>
        <v>0</v>
      </c>
      <c r="M229" s="373">
        <f>Standard_DS13_Memory*Quantity_Tenant2_Standard_DS13</f>
        <v>0</v>
      </c>
      <c r="N229" s="373">
        <f>Standard_DS13_Memory*Quantity_Tenant3_Standard_DS13</f>
        <v>0</v>
      </c>
      <c r="O229" s="373">
        <f>Standard_DS13_Memory*Quantity_Tenant4_Standard_DS13</f>
        <v>0</v>
      </c>
      <c r="P229" s="373">
        <f>Standard_DS13_Memory*Quantity_Tenant5_Standard_DS13</f>
        <v>0</v>
      </c>
      <c r="Q229" s="373">
        <f>Standard_DS13_Memory*Quantity_Tenant6_Standard_DS13</f>
        <v>0</v>
      </c>
      <c r="R229" s="223">
        <f>IF(Quantity_Tenant6_Standard_DS13=0,0,Standard_DS13_Memory)</f>
        <v>0</v>
      </c>
      <c r="AE229" s="346"/>
    </row>
    <row r="230" spans="3:31" x14ac:dyDescent="0.25">
      <c r="C230" s="479" t="s">
        <v>255</v>
      </c>
      <c r="D230" s="373">
        <f>Standard_DS14_Cores*Quantity_Tenant1_Standard_DS14</f>
        <v>0</v>
      </c>
      <c r="E230" s="373">
        <f>Standard_DS14_Cores*Quantity_Tenant2_Standard_DS14</f>
        <v>0</v>
      </c>
      <c r="F230" s="373">
        <f>Standard_DS14_Cores*Quantity_Tenant3_Standard_DS14</f>
        <v>0</v>
      </c>
      <c r="G230" s="373">
        <f>Standard_DS14_Cores*Quantity_Tenant4_Standard_DS14</f>
        <v>0</v>
      </c>
      <c r="H230" s="373">
        <f>Standard_DS14_Cores*Quantity_Tenant5_Standard_DS14</f>
        <v>0</v>
      </c>
      <c r="I230" s="373">
        <f>Standard_DS14_Cores*Quantity_Tenant6_Standard_DS14</f>
        <v>0</v>
      </c>
      <c r="K230" s="479" t="s">
        <v>255</v>
      </c>
      <c r="L230" s="373">
        <f>Standard_DS14_Memory*Quantity_Tenant1_Standard_DS14</f>
        <v>0</v>
      </c>
      <c r="M230" s="373">
        <f>Standard_DS14_Memory*Quantity_Tenant2_Standard_DS14</f>
        <v>0</v>
      </c>
      <c r="N230" s="373">
        <f>Standard_DS14_Memory*Quantity_Tenant3_Standard_DS14</f>
        <v>0</v>
      </c>
      <c r="O230" s="373">
        <f>Standard_DS14_Memory*Quantity_Tenant4_Standard_DS14</f>
        <v>0</v>
      </c>
      <c r="P230" s="373">
        <f>Standard_DS14_Memory*Quantity_Tenant5_Standard_DS14</f>
        <v>0</v>
      </c>
      <c r="Q230" s="373">
        <f>Standard_DS14_Memory*Quantity_Tenant6_Standard_DS14</f>
        <v>0</v>
      </c>
      <c r="R230" s="223">
        <f>IF(Quantity_Tenant6_Standard_DS14=0,0,Standard_DS14_Memory)</f>
        <v>0</v>
      </c>
    </row>
    <row r="231" spans="3:31" x14ac:dyDescent="0.25">
      <c r="C231" s="483" t="s">
        <v>259</v>
      </c>
      <c r="D231" s="374">
        <f>Standard_D11_v2_Cores*Quantity_Tenant1_Standard_D11_v2</f>
        <v>0</v>
      </c>
      <c r="E231" s="374">
        <f>Standard_D11_v2_Cores*Quantity_Tenant2_Standard_D11_v2</f>
        <v>0</v>
      </c>
      <c r="F231" s="374">
        <f>Standard_D11_v2_Cores*Quantity_Tenant3_Standard_D11_v2</f>
        <v>0</v>
      </c>
      <c r="G231" s="374">
        <f>Standard_D11_v2_Cores*Quantity_Tenant4_Standard_D11_v2</f>
        <v>0</v>
      </c>
      <c r="H231" s="374">
        <f>Standard_D11_v2_Cores*Quantity_Tenant5_Standard_D11_v2</f>
        <v>40</v>
      </c>
      <c r="I231" s="374">
        <f>Standard_D11_v2_Cores*Quantity_Tenant6_Standard_D11_v2</f>
        <v>0</v>
      </c>
      <c r="K231" s="483" t="s">
        <v>259</v>
      </c>
      <c r="L231" s="374">
        <f>Standard_D11_v2_Memory*Quantity_Tenant1_Standard_D11_v2</f>
        <v>0</v>
      </c>
      <c r="M231" s="374">
        <f>Standard_D11_v2_Memory*Quantity_Tenant2_Standard_D11_v2</f>
        <v>0</v>
      </c>
      <c r="N231" s="374">
        <f>Standard_D11_v2_Memory*Quantity_Tenant3_Standard_D11_v2</f>
        <v>0</v>
      </c>
      <c r="O231" s="374">
        <f>Standard_D11_v2_Memory*Quantity_Tenant4_Standard_D11_v2</f>
        <v>0</v>
      </c>
      <c r="P231" s="374">
        <f>Standard_D11_v2_Memory*Quantity_Tenant5_Standard_D11_v2</f>
        <v>280</v>
      </c>
      <c r="Q231" s="374">
        <f>Standard_D11_v2_Memory*Quantity_Tenant6_Standard_D11_v2</f>
        <v>0</v>
      </c>
      <c r="R231" s="223">
        <f>IF(Quantity_Tenant6_Standard_DS11_v2=0,0,Standard_DS11_v2_Memory)</f>
        <v>0</v>
      </c>
    </row>
    <row r="232" spans="3:31" x14ac:dyDescent="0.25">
      <c r="C232" s="483" t="s">
        <v>260</v>
      </c>
      <c r="D232" s="374">
        <f>Standard_D12_v2_Cores*Quantity_Tenant1_Standard_D12_v2</f>
        <v>0</v>
      </c>
      <c r="E232" s="374">
        <f>Standard_D12_v2_Cores*Quantity_Tenant2_Standard_D12_v2</f>
        <v>0</v>
      </c>
      <c r="F232" s="374">
        <f>Standard_D12_v2_Cores*Quantity_Tenant3_Standard_D12_v2</f>
        <v>0</v>
      </c>
      <c r="G232" s="374">
        <f>Standard_D12_v2_Cores*Quantity_Tenant4_Standard_D12_v2</f>
        <v>0</v>
      </c>
      <c r="H232" s="374">
        <f>Standard_D12_v2_Cores*Quantity_Tenant5_Standard_D12_v2</f>
        <v>0</v>
      </c>
      <c r="I232" s="374">
        <f>Standard_D12_v2_Cores*Quantity_Tenant6_Standard_D12_v2</f>
        <v>0</v>
      </c>
      <c r="K232" s="483" t="s">
        <v>260</v>
      </c>
      <c r="L232" s="374">
        <f>Standard_D12_v2_Memory*Quantity_Tenant1_Standard_D12_v2</f>
        <v>0</v>
      </c>
      <c r="M232" s="374">
        <f>Standard_D12_v2_Memory*Quantity_Tenant2_Standard_D12_v2</f>
        <v>0</v>
      </c>
      <c r="N232" s="374">
        <f>Standard_D12_v2_Memory*Quantity_Tenant3_Standard_D12_v2</f>
        <v>0</v>
      </c>
      <c r="O232" s="374">
        <f>Standard_D12_v2_Memory*Quantity_Tenant4_Standard_D12_v2</f>
        <v>0</v>
      </c>
      <c r="P232" s="374">
        <f>Standard_D12_v2_Memory*Quantity_Tenant5_Standard_D12_v2</f>
        <v>0</v>
      </c>
      <c r="Q232" s="374">
        <f>Standard_D12_v2_Memory*Quantity_Tenant6_Standard_D12_v2</f>
        <v>0</v>
      </c>
      <c r="R232" s="223">
        <f>IF(Quantity_Tenant6_Standard_DS12_v2=0,0,Standard_DS12_v2_Memory)</f>
        <v>0</v>
      </c>
      <c r="AE232" s="346"/>
    </row>
    <row r="233" spans="3:31" x14ac:dyDescent="0.25">
      <c r="C233" s="483" t="s">
        <v>261</v>
      </c>
      <c r="D233" s="374">
        <f>Standard_D13_v2_Cores*Quantity_Tenant1_Standard_D13_v2</f>
        <v>0</v>
      </c>
      <c r="E233" s="374">
        <f>Standard_D13_v2_Cores*Quantity_Tenant2_Standard_D13_v2</f>
        <v>0</v>
      </c>
      <c r="F233" s="374">
        <f>Standard_D13_v2_Cores*Quantity_Tenant3_Standard_D13_v2</f>
        <v>0</v>
      </c>
      <c r="G233" s="374">
        <f>Standard_D13_v2_Cores*Quantity_Tenant4_Standard_D13_v2</f>
        <v>0</v>
      </c>
      <c r="H233" s="374">
        <f>Standard_D13_v2_Cores*Quantity_Tenant5_Standard_D13_v2</f>
        <v>0</v>
      </c>
      <c r="I233" s="374">
        <f>Standard_D13_v2_Cores*Quantity_Tenant6_Standard_D13_v2</f>
        <v>0</v>
      </c>
      <c r="K233" s="483" t="s">
        <v>261</v>
      </c>
      <c r="L233" s="374">
        <f>Standard_D13_v2_Memory*Quantity_Tenant1_Standard_D13_v2</f>
        <v>0</v>
      </c>
      <c r="M233" s="374">
        <f>Standard_D13_v2_Memory*Quantity_Tenant2_Standard_D13_v2</f>
        <v>0</v>
      </c>
      <c r="N233" s="374">
        <f>Standard_D13_v2_Memory*Quantity_Tenant3_Standard_D13_v2</f>
        <v>0</v>
      </c>
      <c r="O233" s="374">
        <f>Standard_D13_v2_Memory*Quantity_Tenant4_Standard_D13_v2</f>
        <v>0</v>
      </c>
      <c r="P233" s="374">
        <f>Standard_D13_v2_Memory*Quantity_Tenant5_Standard_D13_v2</f>
        <v>0</v>
      </c>
      <c r="Q233" s="374">
        <f>Standard_D13_v2_Memory*Quantity_Tenant6_Standard_D13_v2</f>
        <v>0</v>
      </c>
      <c r="R233" s="223">
        <f>IF(Quantity_Tenant6_Standard_DS13_v2=0,0,Standard_DS13_v2_Memory)</f>
        <v>0</v>
      </c>
      <c r="AE233" s="346"/>
    </row>
    <row r="234" spans="3:31" x14ac:dyDescent="0.25">
      <c r="C234" s="483" t="s">
        <v>262</v>
      </c>
      <c r="D234" s="374">
        <f>Standard_D14_v2_Cores*Quantity_Tenant1_Standard_D14_v2</f>
        <v>0</v>
      </c>
      <c r="E234" s="374">
        <f>Standard_D14_v2_Cores*Quantity_Tenant2_Standard_D14_v2</f>
        <v>0</v>
      </c>
      <c r="F234" s="374">
        <f>Standard_D14_v2_Cores*Quantity_Tenant3_Standard_D14_v2</f>
        <v>0</v>
      </c>
      <c r="G234" s="374">
        <f>Standard_D14_v2_Cores*Quantity_Tenant4_Standard_D14_v2</f>
        <v>0</v>
      </c>
      <c r="H234" s="374">
        <f>Standard_D14_v2_Cores*Quantity_Tenant5_Standard_D14_v2</f>
        <v>0</v>
      </c>
      <c r="I234" s="374">
        <f>Standard_D14_v2_Cores*Quantity_Tenant6_Standard_D14_v2</f>
        <v>0</v>
      </c>
      <c r="K234" s="483" t="s">
        <v>262</v>
      </c>
      <c r="L234" s="374">
        <f>Standard_D14_v2_Memory*Quantity_Tenant1_Standard_D14_v2</f>
        <v>0</v>
      </c>
      <c r="M234" s="374">
        <f>Standard_D14_v2_Memory*Quantity_Tenant2_Standard_D14_v2</f>
        <v>0</v>
      </c>
      <c r="N234" s="374">
        <f>Standard_D14_v2_Memory*Quantity_Tenant3_Standard_D14_v2</f>
        <v>0</v>
      </c>
      <c r="O234" s="374">
        <f>Standard_D14_v2_Memory*Quantity_Tenant4_Standard_D14_v2</f>
        <v>0</v>
      </c>
      <c r="P234" s="374">
        <f>Standard_D14_v2_Memory*Quantity_Tenant5_Standard_D14_v2</f>
        <v>0</v>
      </c>
      <c r="Q234" s="374">
        <f>Standard_D14_v2_Memory*Quantity_Tenant6_Standard_D14_v2</f>
        <v>0</v>
      </c>
      <c r="R234" s="223">
        <f>IF(Quantity_Tenant6_Standard_DS14_v2=0,0,Standard_DS14_v2_Memory)</f>
        <v>0</v>
      </c>
      <c r="AE234" s="346"/>
    </row>
    <row r="235" spans="3:31" x14ac:dyDescent="0.25">
      <c r="C235" s="492" t="s">
        <v>263</v>
      </c>
      <c r="D235" s="375">
        <f>Standard_DS11_v2_Cores*Quantity_Tenant1_Standard_DS11_v2</f>
        <v>0</v>
      </c>
      <c r="E235" s="375">
        <f>Standard_DS11_v2_Cores*Quantity_Tenant2_Standard_DS11_v2</f>
        <v>0</v>
      </c>
      <c r="F235" s="375">
        <f>Standard_DS11_v2_Cores*Quantity_Tenant3_Standard_DS11_v2</f>
        <v>0</v>
      </c>
      <c r="G235" s="375">
        <f>Standard_DS11_v2_Cores*Quantity_Tenant4_Standard_DS11_v2</f>
        <v>0</v>
      </c>
      <c r="H235" s="375">
        <f>Standard_DS11_v2_Cores*Quantity_Tenant5_Standard_DS11_v2</f>
        <v>0</v>
      </c>
      <c r="I235" s="375">
        <f>Standard_DS11_v2_Cores*Quantity_Tenant6_Standard_DS11_v2</f>
        <v>0</v>
      </c>
      <c r="K235" s="492" t="s">
        <v>263</v>
      </c>
      <c r="L235" s="375">
        <f>Standard_DS11_v2_Memory*Quantity_Tenant1_Standard_DS11_v2</f>
        <v>0</v>
      </c>
      <c r="M235" s="375">
        <f>Standard_DS11_v2_Memory*Quantity_Tenant2_Standard_DS11_v2</f>
        <v>0</v>
      </c>
      <c r="N235" s="375">
        <f>Standard_DS11_v2_Memory*Quantity_Tenant3_Standard_DS11_v2</f>
        <v>0</v>
      </c>
      <c r="O235" s="375">
        <f>Standard_DS11_v2_Memory*Quantity_Tenant4_Standard_DS11_v2</f>
        <v>0</v>
      </c>
      <c r="P235" s="375">
        <f>Standard_DS11_v2_Memory*Quantity_Tenant5_Standard_DS11_v2</f>
        <v>0</v>
      </c>
      <c r="Q235" s="375">
        <f>Standard_DS11_v2_Memory*Quantity_Tenant6_Standard_DS11_v2</f>
        <v>0</v>
      </c>
      <c r="R235" s="223">
        <f>IF(Quantity_Tenant6_Standard_DS11_v2=0,0,Standard_DS11_v2_Memory)</f>
        <v>0</v>
      </c>
      <c r="AE235" s="346"/>
    </row>
    <row r="236" spans="3:31" x14ac:dyDescent="0.25">
      <c r="C236" s="493" t="s">
        <v>264</v>
      </c>
      <c r="D236" s="222">
        <f>Standard_DS12_v2_Cores*Quantity_Tenant1_Standard_DS12_v2</f>
        <v>0</v>
      </c>
      <c r="E236" s="222">
        <f>Standard_DS12_v2_Cores*Quantity_Tenant2_Standard_DS12_v2</f>
        <v>0</v>
      </c>
      <c r="F236" s="222">
        <f>Standard_DS12_v2_Cores*Quantity_Tenant3_Standard_DS12_v2</f>
        <v>0</v>
      </c>
      <c r="G236" s="222">
        <f>Standard_DS12_v2_Cores*Quantity_Tenant4_Standard_DS12_v2</f>
        <v>0</v>
      </c>
      <c r="H236" s="222">
        <f>Standard_DS12_v2_Cores*Quantity_Tenant5_Standard_DS12_v2</f>
        <v>0</v>
      </c>
      <c r="I236" s="222">
        <f>Standard_DS12_v2_Cores*Quantity_Tenant6_Standard_DS12_v2</f>
        <v>0</v>
      </c>
      <c r="K236" s="493" t="s">
        <v>264</v>
      </c>
      <c r="L236" s="222">
        <f>Standard_DS12_v2_Memory*Quantity_Tenant1_Standard_DS12_v2</f>
        <v>0</v>
      </c>
      <c r="M236" s="222">
        <f>Standard_DS12_v2_Memory*Quantity_Tenant2_Standard_DS12_v2</f>
        <v>0</v>
      </c>
      <c r="N236" s="222">
        <f>Standard_DS12_v2_Memory*Quantity_Tenant3_Standard_DS12_v2</f>
        <v>0</v>
      </c>
      <c r="O236" s="222">
        <f>Standard_DS12_v2_Memory*Quantity_Tenant4_Standard_DS12_v2</f>
        <v>0</v>
      </c>
      <c r="P236" s="222">
        <f>Standard_DS12_v2_Memory*Quantity_Tenant5_Standard_DS12_v2</f>
        <v>0</v>
      </c>
      <c r="Q236" s="222">
        <f>Standard_DS12_v2_Memory*Quantity_Tenant6_Standard_DS12_v2</f>
        <v>0</v>
      </c>
      <c r="R236" s="223">
        <f>IF(Quantity_Tenant6_Standard_DS12_v2=0,0,Standard_DS12_v2_Memory)</f>
        <v>0</v>
      </c>
      <c r="AE236" s="346"/>
    </row>
    <row r="237" spans="3:31" x14ac:dyDescent="0.25">
      <c r="C237" s="492" t="s">
        <v>265</v>
      </c>
      <c r="D237" s="375">
        <f>Standard_DS13_v2_Cores*Quantity_Tenant1_Standard_DS13_v2</f>
        <v>0</v>
      </c>
      <c r="E237" s="375">
        <f>Standard_DS13_v2_Cores*Quantity_Tenant2_Standard_DS13_v2</f>
        <v>0</v>
      </c>
      <c r="F237" s="375">
        <f>Standard_DS13_v2_Cores*Quantity_Tenant3_Standard_DS13_v2</f>
        <v>0</v>
      </c>
      <c r="G237" s="375">
        <f>Standard_DS13_v2_Cores*Quantity_Tenant4_Standard_DS13_v2</f>
        <v>0</v>
      </c>
      <c r="H237" s="375">
        <f>Standard_DS13_v2_Cores*Quantity_Tenant5_Standard_DS13_v2</f>
        <v>0</v>
      </c>
      <c r="I237" s="222">
        <f>Standard_DS13_v2_Cores*Quantity_Tenant6_Standard_DS13_v2</f>
        <v>0</v>
      </c>
      <c r="K237" s="492" t="s">
        <v>265</v>
      </c>
      <c r="L237" s="375">
        <f>Standard_DS13_v2_Memory*Quantity_Tenant1_Standard_DS13_v2</f>
        <v>0</v>
      </c>
      <c r="M237" s="375">
        <f>Standard_DS13_v2_Memory*Quantity_Tenant2_Standard_DS13_v2</f>
        <v>0</v>
      </c>
      <c r="N237" s="375">
        <f>Standard_DS13_v2_Memory*Quantity_Tenant3_Standard_DS13_v2</f>
        <v>0</v>
      </c>
      <c r="O237" s="375">
        <f>Standard_DS13_v2_Memory*Quantity_Tenant4_Standard_DS13_v2</f>
        <v>0</v>
      </c>
      <c r="P237" s="375">
        <f>Standard_DS13_v2_Memory*Quantity_Tenant5_Standard_DS13_v2</f>
        <v>0</v>
      </c>
      <c r="Q237" s="375">
        <f>Standard_DS13_v2_Memory*Quantity_Tenant6_Standard_DS13_v2</f>
        <v>0</v>
      </c>
      <c r="R237" s="223">
        <f>IF(Quantity_Tenant6_Standard_DS13_v2=0,0,Standard_DS13_v2_Memory)</f>
        <v>0</v>
      </c>
      <c r="AE237" s="346"/>
    </row>
    <row r="238" spans="3:31" x14ac:dyDescent="0.25">
      <c r="C238" s="492" t="s">
        <v>266</v>
      </c>
      <c r="D238" s="375">
        <f>Standard_DS14_v2_Cores*Quantity_Tenant1_Standard_DS14_v2</f>
        <v>0</v>
      </c>
      <c r="E238" s="375">
        <f>Standard_DS14_v2_Cores*Quantity_Tenant2_Standard_DS14_v2</f>
        <v>0</v>
      </c>
      <c r="F238" s="375">
        <f>Standard_DS14_v2_Cores*Quantity_Tenant3_Standard_DS14_v2</f>
        <v>0</v>
      </c>
      <c r="G238" s="375">
        <f>Standard_DS14_v2_Cores*Quantity_Tenant4_Standard_DS14_v2</f>
        <v>0</v>
      </c>
      <c r="H238" s="375">
        <f>Standard_DS14_v2_Cores*Quantity_Tenant5_Standard_DS14_v2</f>
        <v>0</v>
      </c>
      <c r="I238" s="375">
        <f>Standard_DS14_v2_Cores*Quantity_Tenant6_Standard_DS14_v2</f>
        <v>0</v>
      </c>
      <c r="K238" s="492" t="s">
        <v>266</v>
      </c>
      <c r="L238" s="375">
        <f>Standard_DS14_v2_Memory*Quantity_Tenant1_Standard_DS14_v2</f>
        <v>0</v>
      </c>
      <c r="M238" s="375">
        <f>Standard_DS14_v2_Memory*Quantity_Tenant2_Standard_DS14_v2</f>
        <v>0</v>
      </c>
      <c r="N238" s="375">
        <f>Standard_DS14_v2_Memory*Quantity_Tenant3_Standard_DS14_v2</f>
        <v>0</v>
      </c>
      <c r="O238" s="375">
        <f>Standard_DS14_v2_Memory*Quantity_Tenant4_Standard_DS14_v2</f>
        <v>0</v>
      </c>
      <c r="P238" s="375">
        <f>Standard_DS14_v2_Memory*Quantity_Tenant5_Standard_DS14_v2</f>
        <v>0</v>
      </c>
      <c r="Q238" s="375">
        <f>Standard_DS14_v2_Memory*Quantity_Tenant6_Standard_DS14_v2</f>
        <v>0</v>
      </c>
      <c r="R238" s="223">
        <f>IF(Quantity_Tenant6_Standard_DS14_v2=0,0,Standard_DS14_v2_Memory)</f>
        <v>0</v>
      </c>
    </row>
    <row r="239" spans="3:31" x14ac:dyDescent="0.25">
      <c r="C239" s="478" t="s">
        <v>268</v>
      </c>
      <c r="D239" s="372">
        <f>Standard_E2_v3_Cores*Quantity_Tenant1_Standard_E2_v3</f>
        <v>0</v>
      </c>
      <c r="E239" s="372">
        <f>Standard_E2_v3_Cores*Quantity_Tenant2_Standard_E2_v3</f>
        <v>0</v>
      </c>
      <c r="F239" s="372">
        <f>Standard_E2_v3_Cores*Quantity_Tenant3_Standard_E2_v3</f>
        <v>0</v>
      </c>
      <c r="G239" s="372">
        <f>Standard_E2_v3_Cores*Quantity_Tenant4_Standard_E2_v3</f>
        <v>0</v>
      </c>
      <c r="H239" s="372">
        <f>Standard_E2_v3_Cores*Quantity_Tenant5_Standard_E2_v3</f>
        <v>0</v>
      </c>
      <c r="I239" s="372">
        <f>Standard_E2_v3_Cores*Quantity_Tenant6_Standard_E2_v3</f>
        <v>0</v>
      </c>
      <c r="K239" s="478" t="s">
        <v>268</v>
      </c>
      <c r="L239" s="372">
        <f>Standard_E2_v3_Memory*Quantity_Tenant1_Standard_E2_v3</f>
        <v>0</v>
      </c>
      <c r="M239" s="372">
        <f>Standard_E2_v3_Memory*Quantity_Tenant2_Standard_E2_v3</f>
        <v>0</v>
      </c>
      <c r="N239" s="372">
        <f>Standard_E2_v3_Memory*Quantity_Tenant3_Standard_E2_v3</f>
        <v>0</v>
      </c>
      <c r="O239" s="372">
        <f>Standard_E2_v3_Memory*Quantity_Tenant4_Standard_E2_v3</f>
        <v>0</v>
      </c>
      <c r="P239" s="372">
        <f>Standard_E2_v3_Memory*Quantity_Tenant5_Standard_E2_v3</f>
        <v>0</v>
      </c>
      <c r="Q239" s="372">
        <f>Standard_E2_v3_Memory*Quantity_Tenant6_Standard_E2_v3</f>
        <v>0</v>
      </c>
      <c r="R239" s="223">
        <f>IF(Quantity_Tenant6_Standard_E2_v3=0,0,Standard_E2_v3_Memory)</f>
        <v>0</v>
      </c>
    </row>
    <row r="240" spans="3:31" x14ac:dyDescent="0.25">
      <c r="C240" s="478" t="s">
        <v>269</v>
      </c>
      <c r="D240" s="372">
        <f>Standard_E4_v3_Cores*Quantity_Tenant1_Standard_E4_v3</f>
        <v>0</v>
      </c>
      <c r="E240" s="372">
        <f>Standard_E4_v3_Cores*Quantity_Tenant2_Standard_E4_v3</f>
        <v>0</v>
      </c>
      <c r="F240" s="372">
        <f>Standard_E4_v3_Cores*Quantity_Tenant3_Standard_E4_v3</f>
        <v>0</v>
      </c>
      <c r="G240" s="372">
        <f>Standard_E4_v3_Cores*Quantity_Tenant4_Standard_E4_v3</f>
        <v>0</v>
      </c>
      <c r="H240" s="372">
        <f>Standard_E4_v3_Cores*Quantity_Tenant5_Standard_E4_v3</f>
        <v>0</v>
      </c>
      <c r="I240" s="372">
        <f>Standard_E4_v3_Cores*Quantity_Tenant6_Standard_E4_v3</f>
        <v>0</v>
      </c>
      <c r="K240" s="478" t="s">
        <v>269</v>
      </c>
      <c r="L240" s="372">
        <f>Standard_E4_v3_Memory*Quantity_Tenant1_Standard_E4_v3</f>
        <v>0</v>
      </c>
      <c r="M240" s="372">
        <f>Standard_E4_v3_Memory*Quantity_Tenant2_Standard_E4_v3</f>
        <v>0</v>
      </c>
      <c r="N240" s="372">
        <f>Standard_E4_v3_Memory*Quantity_Tenant3_Standard_E4_v3</f>
        <v>0</v>
      </c>
      <c r="O240" s="372">
        <f>Standard_E4_v3_Memory*Quantity_Tenant4_Standard_E4_v3</f>
        <v>0</v>
      </c>
      <c r="P240" s="372">
        <f>Standard_E4_v3_Memory*Quantity_Tenant5_Standard_E4_v3</f>
        <v>0</v>
      </c>
      <c r="Q240" s="372">
        <f>Standard_E4_v3_Memory*Quantity_Tenant6_Standard_E4_v3</f>
        <v>0</v>
      </c>
      <c r="R240" s="223">
        <f>IF(Quantity_Tenant6_Standard_E4_v3=0,0,Standard_E4_v3_Memory)</f>
        <v>0</v>
      </c>
    </row>
    <row r="241" spans="3:18" x14ac:dyDescent="0.25">
      <c r="C241" s="478" t="s">
        <v>270</v>
      </c>
      <c r="D241" s="372">
        <f>Standard_E8_v3_Cores*Quantity_Tenant1_Standard_E8_v3</f>
        <v>0</v>
      </c>
      <c r="E241" s="372">
        <f>Standard_E8_v3_Cores*Quantity_Tenant2_Standard_E8_v3</f>
        <v>0</v>
      </c>
      <c r="F241" s="372">
        <f>Standard_E8_v3_Cores*Quantity_Tenant3_Standard_E8_v3</f>
        <v>0</v>
      </c>
      <c r="G241" s="372">
        <f>Standard_E8_v3_Cores*Quantity_Tenant4_Standard_E8_v3</f>
        <v>0</v>
      </c>
      <c r="H241" s="372">
        <f>Standard_E8_v3_Cores*Quantity_Tenant5_Standard_E8_v3</f>
        <v>0</v>
      </c>
      <c r="I241" s="372">
        <f>Standard_E8_v3_Cores*Quantity_Tenant6_Standard_E8_v3</f>
        <v>0</v>
      </c>
      <c r="K241" s="478" t="s">
        <v>270</v>
      </c>
      <c r="L241" s="372">
        <f>Standard_E8_v3_Memory*Quantity_Tenant1_Standard_E8_v3</f>
        <v>0</v>
      </c>
      <c r="M241" s="372">
        <f>Standard_E8_v3_Memory*Quantity_Tenant2_Standard_E8_v3</f>
        <v>0</v>
      </c>
      <c r="N241" s="372">
        <f>Standard_E8_v3_Memory*Quantity_Tenant3_Standard_E8_v3</f>
        <v>0</v>
      </c>
      <c r="O241" s="372">
        <f>Standard_E8_v3_Memory*Quantity_Tenant4_Standard_E8_v3</f>
        <v>0</v>
      </c>
      <c r="P241" s="372">
        <f>Standard_E8_v3_Memory*Quantity_Tenant5_Standard_E8_v3</f>
        <v>0</v>
      </c>
      <c r="Q241" s="372">
        <f>Standard_E8_v3_Memory*Quantity_Tenant6_Standard_E8_v3</f>
        <v>0</v>
      </c>
      <c r="R241" s="223">
        <f>IF(Quantity_Tenant6_Standard_E8_v3=0,0,Standard_E8_v3_Memory)</f>
        <v>0</v>
      </c>
    </row>
    <row r="242" spans="3:18" x14ac:dyDescent="0.25">
      <c r="C242" s="478" t="s">
        <v>271</v>
      </c>
      <c r="D242" s="372">
        <f>Standard_E16_v3_Cores*Quantity_Tenant1_Standard_E16_v3</f>
        <v>0</v>
      </c>
      <c r="E242" s="372">
        <f>Standard_E16_v3_Cores*Quantity_Tenant2_Standard_E16_v3</f>
        <v>0</v>
      </c>
      <c r="F242" s="372">
        <f>Standard_E16_v3_Cores*Quantity_Tenant3_Standard_E16_v3</f>
        <v>0</v>
      </c>
      <c r="G242" s="372">
        <f>Standard_E16_v3_Cores*Quantity_Tenant4_Standard_E16_v3</f>
        <v>0</v>
      </c>
      <c r="H242" s="372">
        <f>Standard_E16_v3_Cores*Quantity_Tenant5_Standard_E16_v3</f>
        <v>0</v>
      </c>
      <c r="I242" s="372">
        <f>Standard_E16_v3_Cores*Quantity_Tenant6_Standard_E16_v3</f>
        <v>0</v>
      </c>
      <c r="K242" s="478" t="s">
        <v>271</v>
      </c>
      <c r="L242" s="372">
        <f>Standard_E16_v3_Memory*Quantity_Tenant1_Standard_E16_v3</f>
        <v>0</v>
      </c>
      <c r="M242" s="372">
        <f>Standard_E16_v3_Memory*Quantity_Tenant2_Standard_E16_v3</f>
        <v>0</v>
      </c>
      <c r="N242" s="372">
        <f>Standard_E16_v3_Memory*Quantity_Tenant3_Standard_E16_v3</f>
        <v>0</v>
      </c>
      <c r="O242" s="372">
        <f>Standard_E16_v3_Memory*Quantity_Tenant4_Standard_E16_v3</f>
        <v>0</v>
      </c>
      <c r="P242" s="372">
        <f>Standard_E16_v3_Memory*Quantity_Tenant5_Standard_E16_v3</f>
        <v>0</v>
      </c>
      <c r="Q242" s="372">
        <f>Standard_E16_v3_Memory*Quantity_Tenant6_Standard_E16_v3</f>
        <v>0</v>
      </c>
      <c r="R242" s="223">
        <f>IF(Quantity_Tenant6_Standard_E16_v3=0,0,Standard_E16_v3_Memory)</f>
        <v>0</v>
      </c>
    </row>
    <row r="243" spans="3:18" x14ac:dyDescent="0.25">
      <c r="C243" s="478" t="s">
        <v>272</v>
      </c>
      <c r="D243" s="372">
        <f>Standard_E20_v3_Cores*Quantity_Tenant1_Standard_E20_v3</f>
        <v>0</v>
      </c>
      <c r="E243" s="372">
        <f>Standard_E20_v3_Cores*Quantity_Tenant2_Standard_E20_v3</f>
        <v>0</v>
      </c>
      <c r="F243" s="372">
        <f>Standard_E20_v3_Cores*Quantity_Tenant3_Standard_E20_v3</f>
        <v>0</v>
      </c>
      <c r="G243" s="372">
        <f>Standard_E20_v3_Cores*Quantity_Tenant4_Standard_E20_v3</f>
        <v>0</v>
      </c>
      <c r="H243" s="372">
        <f>Standard_E20_v3_Cores*Quantity_Tenant5_Standard_E20_v3</f>
        <v>0</v>
      </c>
      <c r="I243" s="372">
        <f>Standard_E20_v3_Cores*Quantity_Tenant6_Standard_E20_v3</f>
        <v>0</v>
      </c>
      <c r="K243" s="478" t="s">
        <v>272</v>
      </c>
      <c r="L243" s="372" cm="1">
        <f t="array" ref="L243">Standard_E20_v3_Memory*Quantity_Tenant1_Standard_E20_v3</f>
        <v>0</v>
      </c>
      <c r="M243" s="372">
        <f>Standard_E20_v3_Memory*Quantity_Tenant2_Standard_E20_v3</f>
        <v>0</v>
      </c>
      <c r="N243" s="372">
        <f>Standard_E20_v3_Memory*Quantity_Tenant3_Standard_E20_v3</f>
        <v>0</v>
      </c>
      <c r="O243" s="372">
        <f>Standard_E20_v3_Memory*Quantity_Tenant4_Standard_E20_v3</f>
        <v>0</v>
      </c>
      <c r="P243" s="372">
        <f>Standard_E20_v3_Memory*Quantity_Tenant5_Standard_E20_v3</f>
        <v>0</v>
      </c>
      <c r="Q243" s="372">
        <f>Standard_E20_v3_Memory*Quantity_Tenant6_Standard_E20_v3</f>
        <v>0</v>
      </c>
      <c r="R243" s="223">
        <f>IF(Quantity_Tenant6_Standard_E20_v3=0,0,Standard_E20_v3_Memory)</f>
        <v>0</v>
      </c>
    </row>
    <row r="244" spans="3:18" x14ac:dyDescent="0.25">
      <c r="C244" s="492" t="s">
        <v>275</v>
      </c>
      <c r="D244" s="375">
        <f>Standard_F1_cores*Quantity_Tenant1_Standard_F1</f>
        <v>0</v>
      </c>
      <c r="E244" s="375">
        <f>Standard_F1_cores*Quantity_Tenant2_Standard_F1</f>
        <v>0</v>
      </c>
      <c r="F244" s="375">
        <f>Standard_F1_cores*Quantity_Tenant3_Standard_F1</f>
        <v>0</v>
      </c>
      <c r="G244" s="375">
        <f>Standard_F1_cores*Quantity_Tenant4_Standard_F1</f>
        <v>0</v>
      </c>
      <c r="H244" s="375">
        <f>Standard_F1_cores*Quantity_Tenant5_Standard_F1</f>
        <v>0</v>
      </c>
      <c r="I244" s="375">
        <f>Standard_F1_cores*Quantity_Tenant6_Standard_F1</f>
        <v>0</v>
      </c>
      <c r="K244" s="492" t="s">
        <v>275</v>
      </c>
      <c r="L244" s="375">
        <f>Standard_F1_Memory*Quantity_Tenant1_Standard_F1</f>
        <v>0</v>
      </c>
      <c r="M244" s="375">
        <f>Standard_F1_Memory*Quantity_Tenant2_Standard_F1</f>
        <v>0</v>
      </c>
      <c r="N244" s="375">
        <f>Standard_F1_Memory*Quantity_Tenant3_Standard_F1</f>
        <v>0</v>
      </c>
      <c r="O244" s="375">
        <f>Standard_F1_Memory*Quantity_Tenant4_Standard_F1</f>
        <v>0</v>
      </c>
      <c r="P244" s="375">
        <f>Standard_F1_Memory*Quantity_Tenant5_Standard_F1</f>
        <v>0</v>
      </c>
      <c r="Q244" s="375">
        <f>Standard_F1_Memory*Quantity_Tenant6_Standard_F1</f>
        <v>0</v>
      </c>
      <c r="R244" s="223">
        <f>IF(Quantity_Tenant6_Standard_F1=0,0,Standard_F1_Memory)</f>
        <v>0</v>
      </c>
    </row>
    <row r="245" spans="3:18" x14ac:dyDescent="0.25">
      <c r="C245" s="493" t="s">
        <v>276</v>
      </c>
      <c r="D245" s="222">
        <f>Standard_F2_cores*Quantity_Tenant1_Standard_F2</f>
        <v>0</v>
      </c>
      <c r="E245" s="222">
        <f>Standard_F2_cores*Quantity_Tenant2_Standard_F2</f>
        <v>0</v>
      </c>
      <c r="F245" s="222">
        <f>Standard_F2_cores*Quantity_Tenant3_Standard_F2</f>
        <v>0</v>
      </c>
      <c r="G245" s="222">
        <f>Standard_F2_cores*Quantity_Tenant4_Standard_F2</f>
        <v>0</v>
      </c>
      <c r="H245" s="222">
        <f>Standard_F2_cores*Quantity_Tenant5_Standard_F2</f>
        <v>0</v>
      </c>
      <c r="I245" s="222">
        <f>Standard_F2_cores*Quantity_Tenant6_Standard_F2</f>
        <v>0</v>
      </c>
      <c r="K245" s="493" t="s">
        <v>276</v>
      </c>
      <c r="L245" s="222">
        <f>Standard_F2_Memory*Quantity_Tenant1_Standard_F2</f>
        <v>0</v>
      </c>
      <c r="M245" s="222">
        <f>Standard_F2_Memory*Quantity_Tenant2_Standard_F2</f>
        <v>0</v>
      </c>
      <c r="N245" s="222">
        <f>Standard_F2_Memory*Quantity_Tenant3_Standard_F2</f>
        <v>0</v>
      </c>
      <c r="O245" s="222">
        <f>Standard_F2_Memory*Quantity_Tenant4_Standard_F2</f>
        <v>0</v>
      </c>
      <c r="P245" s="222">
        <f>Standard_F2_Memory*Quantity_Tenant5_Standard_F2</f>
        <v>0</v>
      </c>
      <c r="Q245" s="222">
        <f>Standard_F2_Memory*Quantity_Tenant6_Standard_F2</f>
        <v>0</v>
      </c>
      <c r="R245" s="223">
        <f>IF(Quantity_Tenant6_Standard_F2=0,0,Standard_F2_Memory)</f>
        <v>0</v>
      </c>
    </row>
    <row r="246" spans="3:18" x14ac:dyDescent="0.25">
      <c r="C246" s="492" t="s">
        <v>277</v>
      </c>
      <c r="D246" s="375">
        <f>Standard_F4_Cores*Quantity_Tenant1_Standard_F4</f>
        <v>0</v>
      </c>
      <c r="E246" s="375">
        <f>Standard_F4_Cores*Quantity_Tenant2_Standard_F4</f>
        <v>0</v>
      </c>
      <c r="F246" s="375">
        <f>Standard_F4_Cores*Quantity_Tenant3_Standard_F4</f>
        <v>0</v>
      </c>
      <c r="G246" s="375">
        <f>Standard_F4_Cores*Quantity_Tenant4_Standard_F4</f>
        <v>0</v>
      </c>
      <c r="H246" s="248">
        <v>0</v>
      </c>
      <c r="I246" s="222">
        <f>Standard_F4_Cores*Quantity_Tenant6_Standard_F4</f>
        <v>0</v>
      </c>
      <c r="K246" s="492" t="s">
        <v>277</v>
      </c>
      <c r="L246" s="375">
        <f>Standard_F4_Memory*Quantity_Tenant1_Standard_F4</f>
        <v>0</v>
      </c>
      <c r="M246" s="375">
        <f>Standard_F4_Memory*Quantity_Tenant2_Standard_F4</f>
        <v>0</v>
      </c>
      <c r="N246" s="375">
        <f>Standard_F4_Memory*Quantity_Tenant3_Standard_F4</f>
        <v>0</v>
      </c>
      <c r="O246" s="375">
        <f>Standard_F4_Memory*Quantity_Tenant4_Standard_F4</f>
        <v>0</v>
      </c>
      <c r="P246" s="375">
        <f>Standard_F4_Memory*Quantity_Tenant5_Standard_F4</f>
        <v>0</v>
      </c>
      <c r="Q246" s="222">
        <f>Standard_F4_Memory*Quantity_Tenant6_Standard_F4</f>
        <v>0</v>
      </c>
      <c r="R246" s="223">
        <f>IF(Quantity_Tenant6_Standard_F4=0,0,Standard_F4_Memory)</f>
        <v>0</v>
      </c>
    </row>
    <row r="247" spans="3:18" x14ac:dyDescent="0.25">
      <c r="C247" s="492" t="s">
        <v>278</v>
      </c>
      <c r="D247" s="375">
        <f>Standard_F8_cores*Quantity_Tenant1_Standard_F8</f>
        <v>0</v>
      </c>
      <c r="E247" s="375">
        <f>Standard_F8_cores*Quantity_Tenant2_Standard_F8</f>
        <v>0</v>
      </c>
      <c r="F247" s="375">
        <f>Standard_F8_cores*Quantity_Tenant3_Standard_F8</f>
        <v>0</v>
      </c>
      <c r="G247" s="375">
        <f>Standard_F8_cores*Quantity_Tenant4_Standard_F8</f>
        <v>0</v>
      </c>
      <c r="H247" s="375">
        <f>Standard_F8_cores*Quantity_Tenant5_Standard_F8</f>
        <v>0</v>
      </c>
      <c r="I247" s="375">
        <f>Standard_F8_cores*Quantity_Tenant6_Standard_F8</f>
        <v>0</v>
      </c>
      <c r="K247" s="492" t="s">
        <v>278</v>
      </c>
      <c r="L247" s="375">
        <f>Standard_F8_Memory*Quantity_Tenant1_Standard_F8</f>
        <v>0</v>
      </c>
      <c r="M247" s="375">
        <f>Standard_F8_Memory*Quantity_Tenant2_Standard_F8</f>
        <v>0</v>
      </c>
      <c r="N247" s="375">
        <f>Standard_F8_Memory*Quantity_Tenant3_Standard_F8</f>
        <v>0</v>
      </c>
      <c r="O247" s="375">
        <f>Standard_F8_Memory*Quantity_Tenant4_Standard_F8</f>
        <v>0</v>
      </c>
      <c r="P247" s="375">
        <f>Standard_F8_Memory*Quantity_Tenant5_Standard_F8</f>
        <v>0</v>
      </c>
      <c r="Q247" s="375">
        <f>Standard_F8_Memory*Quantity_Tenant6_Standard_F8</f>
        <v>0</v>
      </c>
      <c r="R247" s="223">
        <f>IF(Quantity_Tenant6_Standard_F8=0,0,Standard_F8_Memory)</f>
        <v>0</v>
      </c>
    </row>
    <row r="248" spans="3:18" x14ac:dyDescent="0.25">
      <c r="C248" s="493" t="s">
        <v>279</v>
      </c>
      <c r="D248" s="222">
        <f>Standard_F16_cores*Quantity_Tenant1_Standard_F16</f>
        <v>0</v>
      </c>
      <c r="E248" s="222">
        <f>Standard_F16_cores*Quantity_Tenant2_Standard_F16</f>
        <v>0</v>
      </c>
      <c r="F248" s="222">
        <f>Standard_F16_cores*Quantity_Tenant3_Standard_F16</f>
        <v>0</v>
      </c>
      <c r="G248" s="222">
        <f>Standard_F16_cores*Quantity_Tenant4_Standard_F16</f>
        <v>0</v>
      </c>
      <c r="H248" s="222">
        <f>Standard_F16_cores*Quantity_Tenant5_Standard_F16</f>
        <v>0</v>
      </c>
      <c r="I248" s="222">
        <f>Standard_F16_cores*Quantity_Tenant6_Standard_F16</f>
        <v>0</v>
      </c>
      <c r="K248" s="493" t="s">
        <v>279</v>
      </c>
      <c r="L248" s="222">
        <f>Standard_F16_Memory*Quantity_Tenant1_Standard_F16</f>
        <v>0</v>
      </c>
      <c r="M248" s="222">
        <f>Standard_F16_Memory*Quantity_Tenant2_Standard_F16</f>
        <v>0</v>
      </c>
      <c r="N248" s="222">
        <f>Standard_F16_Memory*Quantity_Tenant3_Standard_F16</f>
        <v>0</v>
      </c>
      <c r="O248" s="222">
        <f>Standard_F16_Memory*Quantity_Tenant4_Standard_F16</f>
        <v>0</v>
      </c>
      <c r="P248" s="222">
        <f>Standard_F16_Memory*Quantity_Tenant5_Standard_F16</f>
        <v>0</v>
      </c>
      <c r="Q248" s="222">
        <f>Standard_F16_Memory*Quantity_Tenant6_Standard_F16</f>
        <v>0</v>
      </c>
      <c r="R248" s="223">
        <f>IF(Quantity_Tenant6_Standard_F16=0,0,Standard_F16_Memory)</f>
        <v>0</v>
      </c>
    </row>
    <row r="249" spans="3:18" x14ac:dyDescent="0.25">
      <c r="C249" s="479" t="s">
        <v>281</v>
      </c>
      <c r="D249" s="373">
        <f>Standard_F1s_cores*Quantity_Tenant1_Standard_F1s</f>
        <v>0</v>
      </c>
      <c r="E249" s="373">
        <f>Standard_F1s_cores*Quantity_Tenant2_Standard_F1s</f>
        <v>0</v>
      </c>
      <c r="F249" s="373">
        <f>Standard_F1s_cores*Quantity_Tenant3_Standard_F1s</f>
        <v>0</v>
      </c>
      <c r="G249" s="373">
        <f>Standard_F1s_cores*Quantity_Tenant4_Standard_F1s</f>
        <v>0</v>
      </c>
      <c r="H249" s="373">
        <f>Standard_F1s_cores*Quantity_Tenant5_Standard_F1s</f>
        <v>0</v>
      </c>
      <c r="I249" s="373">
        <f>Standard_F1s_cores*Quantity_Tenant6_Standard_F1s</f>
        <v>0</v>
      </c>
      <c r="K249" s="479" t="s">
        <v>281</v>
      </c>
      <c r="L249" s="373">
        <f>Standard_F1s_Memory*Quantity_Tenant1_Standard_F1s</f>
        <v>0</v>
      </c>
      <c r="M249" s="373">
        <f>Standard_F1s_Memory*Quantity_Tenant2_Standard_F1s</f>
        <v>0</v>
      </c>
      <c r="N249" s="373">
        <f>Standard_F1s_Memory*Quantity_Tenant3_Standard_F1s</f>
        <v>0</v>
      </c>
      <c r="O249" s="373">
        <f>Standard_F1s_Memory*Quantity_Tenant4_Standard_F1s</f>
        <v>0</v>
      </c>
      <c r="P249" s="373">
        <f>Standard_F1s_Memory*Quantity_Tenant5_Standard_F1s</f>
        <v>0</v>
      </c>
      <c r="Q249" s="373">
        <f>Standard_F1s_Memory*Quantity_Tenant6_Standard_F1s</f>
        <v>0</v>
      </c>
      <c r="R249" s="223">
        <f>IF(Quantity_Tenant6_Standard_F1s=0,0,Standard_F1s_Memory)</f>
        <v>0</v>
      </c>
    </row>
    <row r="250" spans="3:18" x14ac:dyDescent="0.25">
      <c r="C250" s="479" t="s">
        <v>282</v>
      </c>
      <c r="D250" s="373">
        <f>Standard_F2s_cores*Quantity_Tenant1_Standard_F2s</f>
        <v>0</v>
      </c>
      <c r="E250" s="373">
        <f>Standard_F2s_cores*Quantity_Tenant2_Standard_F2s</f>
        <v>0</v>
      </c>
      <c r="F250" s="373">
        <f>Standard_F2s_cores*Quantity_Tenant3_Standard_F2s</f>
        <v>0</v>
      </c>
      <c r="G250" s="373">
        <f>Standard_F2s_cores*Quantity_Tenant4_Standard_F2s</f>
        <v>0</v>
      </c>
      <c r="H250" s="373">
        <f>Standard_F2s_cores*Quantity_Tenant5_Standard_F2s</f>
        <v>0</v>
      </c>
      <c r="I250" s="373">
        <f>Standard_F2s_cores*Quantity_Tenant6_Standard_F2s</f>
        <v>0</v>
      </c>
      <c r="K250" s="479" t="s">
        <v>282</v>
      </c>
      <c r="L250" s="373">
        <f>Standard_F2s_Memory*Quantity_Tenant1_Standard_F2s</f>
        <v>0</v>
      </c>
      <c r="M250" s="373">
        <f>Standard_F2s_Memory*Quantity_Tenant2_Standard_F2s</f>
        <v>0</v>
      </c>
      <c r="N250" s="373">
        <f>Standard_F2s_Memory*Quantity_Tenant3_Standard_F2s</f>
        <v>0</v>
      </c>
      <c r="O250" s="373">
        <f>Standard_F2s_Memory*Quantity_Tenant4_Standard_F2s</f>
        <v>0</v>
      </c>
      <c r="P250" s="373">
        <f>Standard_F2s_Memory*Quantity_Tenant5_Standard_F2s</f>
        <v>0</v>
      </c>
      <c r="Q250" s="373">
        <f>Standard_F2s_Memory*Quantity_Tenant6_Standard_F2s</f>
        <v>0</v>
      </c>
      <c r="R250" s="223">
        <f>IF(Quantity_Tenant6_Standard_F2s=0,0,Standard_F2s_Memory)</f>
        <v>0</v>
      </c>
    </row>
    <row r="251" spans="3:18" x14ac:dyDescent="0.25">
      <c r="C251" s="479" t="s">
        <v>283</v>
      </c>
      <c r="D251" s="373">
        <f>Standard_F4s_Cores*Quantity_Tenant1_Standard_F4s</f>
        <v>0</v>
      </c>
      <c r="E251" s="373">
        <f>Standard_F4s_Cores*Quantity_Tenant2_Standard_F4s</f>
        <v>0</v>
      </c>
      <c r="F251" s="373">
        <f>Standard_F4s_Cores*Quantity_Tenant3_Standard_F4s</f>
        <v>0</v>
      </c>
      <c r="G251" s="373">
        <f>Standard_F4s_Cores*Quantity_Tenant4_Standard_F4s</f>
        <v>0</v>
      </c>
      <c r="H251" s="373">
        <f>Standard_F4s_Cores*Quantity_Tenant5_Standard_F4s</f>
        <v>0</v>
      </c>
      <c r="I251" s="373">
        <f>Standard_F4s_Cores*Quantity_Tenant6_Standard_F4s</f>
        <v>0</v>
      </c>
      <c r="K251" s="479" t="s">
        <v>283</v>
      </c>
      <c r="L251" s="373">
        <f>Standard_F4s_Memory*Quantity_Tenant1_Standard_F4s</f>
        <v>0</v>
      </c>
      <c r="M251" s="373">
        <f>Standard_F4s_Memory*Quantity_Tenant2_Standard_F4s</f>
        <v>0</v>
      </c>
      <c r="N251" s="373">
        <f>Standard_F4s_Memory*Quantity_Tenant3_Standard_F4s</f>
        <v>0</v>
      </c>
      <c r="O251" s="373">
        <f>Standard_F4s_Memory*Quantity_Tenant4_Standard_F4s</f>
        <v>0</v>
      </c>
      <c r="P251" s="373">
        <f>Standard_F4s_Memory*Quantity_Tenant5_Standard_F4s</f>
        <v>0</v>
      </c>
      <c r="Q251" s="373">
        <f>Standard_F4s_Memory*Quantity_Tenant6_Standard_F4s</f>
        <v>0</v>
      </c>
      <c r="R251" s="223">
        <f>IF(Quantity_Tenant6_Standard_F4s=0,0,Standard_F4s_Memory)</f>
        <v>0</v>
      </c>
    </row>
    <row r="252" spans="3:18" x14ac:dyDescent="0.25">
      <c r="C252" s="479" t="s">
        <v>284</v>
      </c>
      <c r="D252" s="373">
        <f>Standard_F8s_cores*Quantity_Tenant1_Standard_F8s</f>
        <v>0</v>
      </c>
      <c r="E252" s="373">
        <f>Standard_F8s_cores*Quantity_Tenant2_Standard_F8s</f>
        <v>0</v>
      </c>
      <c r="F252" s="373">
        <f>Standard_F8s_cores*Quantity_Tenant3_Standard_F8s</f>
        <v>0</v>
      </c>
      <c r="G252" s="373">
        <f>Standard_F8s_cores*Quantity_Tenant4_Standard_F8s</f>
        <v>0</v>
      </c>
      <c r="H252" s="373">
        <f>Standard_F8s_cores*Quantity_Tenant5_Standard_F8s</f>
        <v>0</v>
      </c>
      <c r="I252" s="373">
        <f>Standard_F8s_cores*Quantity_Tenant6_Standard_F8s</f>
        <v>0</v>
      </c>
      <c r="K252" s="479" t="s">
        <v>284</v>
      </c>
      <c r="L252" s="373">
        <f>Standard_F8s_Memory*Quantity_Tenant1_Standard_F8s</f>
        <v>0</v>
      </c>
      <c r="M252" s="373">
        <f>Standard_F8s_Memory*Quantity_Tenant2_Standard_F8s</f>
        <v>0</v>
      </c>
      <c r="N252" s="373">
        <f>Standard_F8s_Memory*Quantity_Tenant3_Standard_F8s</f>
        <v>0</v>
      </c>
      <c r="O252" s="373">
        <f>Standard_F8s_Memory*Quantity_Tenant4_Standard_F8s</f>
        <v>0</v>
      </c>
      <c r="P252" s="373">
        <f>Standard_F8s_Memory*Quantity_Tenant5_Standard_F8s</f>
        <v>0</v>
      </c>
      <c r="Q252" s="373">
        <f>Standard_F8s_Memory*Quantity_Tenant6_Standard_F8s</f>
        <v>0</v>
      </c>
      <c r="R252" s="223">
        <f>IF(Quantity_Tenant6_Standard_F8s=0,0,Standard_F8s_Memory)</f>
        <v>0</v>
      </c>
    </row>
    <row r="253" spans="3:18" x14ac:dyDescent="0.25">
      <c r="C253" s="479" t="s">
        <v>285</v>
      </c>
      <c r="D253" s="373">
        <f>Standard_F16s_cores*Quantity_Tenant1_Standard_F16s</f>
        <v>0</v>
      </c>
      <c r="E253" s="373">
        <f>Standard_F16s_cores*Quantity_Tenant2_Standard_F16s</f>
        <v>0</v>
      </c>
      <c r="F253" s="373">
        <f>Standard_F16s_cores*Quantity_Tenant3_Standard_F16s</f>
        <v>0</v>
      </c>
      <c r="G253" s="373">
        <f>Standard_F16s_cores*Quantity_Tenant4_Standard_F16s</f>
        <v>0</v>
      </c>
      <c r="H253" s="373">
        <f>Standard_F16s_cores*Quantity_Tenant5_Standard_F16s</f>
        <v>0</v>
      </c>
      <c r="I253" s="373">
        <f>Standard_F16s_cores*Quantity_Tenant6_Standard_F16s</f>
        <v>0</v>
      </c>
      <c r="K253" s="479" t="s">
        <v>285</v>
      </c>
      <c r="L253" s="373">
        <f>Standard_F16s_Memory*Quantity_Tenant1_Standard_F16s</f>
        <v>0</v>
      </c>
      <c r="M253" s="373">
        <f>Standard_F16s_Memory*Quantity_Tenant2_Standard_F16s</f>
        <v>0</v>
      </c>
      <c r="N253" s="373">
        <f>Standard_F16s_Memory*Quantity_Tenant3_Standard_F16s</f>
        <v>0</v>
      </c>
      <c r="O253" s="373">
        <f>Standard_F16s_Memory*Quantity_Tenant4_Standard_F16s</f>
        <v>0</v>
      </c>
      <c r="P253" s="373">
        <f>Standard_F16s_Memory*Quantity_Tenant5_Standard_F16s</f>
        <v>0</v>
      </c>
      <c r="Q253" s="373">
        <f>Standard_F16s_Memory*Quantity_Tenant6_Standard_F16s</f>
        <v>0</v>
      </c>
      <c r="R253" s="223">
        <f>IF(Quantity_Tenant6_Standard_F16s=0,0,Standard_F16s_Memory)</f>
        <v>0</v>
      </c>
    </row>
    <row r="254" spans="3:18" x14ac:dyDescent="0.25">
      <c r="C254" s="483" t="s">
        <v>287</v>
      </c>
      <c r="D254" s="374">
        <f>Standard_F2s_v2_Cores*Quantity_Tenant1_Standard_F2s_v2</f>
        <v>0</v>
      </c>
      <c r="E254" s="374">
        <f>Standard_F2s_v2_Cores*Quantity_Tenant2_Standard_F2s_v2</f>
        <v>0</v>
      </c>
      <c r="F254" s="374">
        <f>Standard_F2s_v2_Cores*Quantity_Tenant3_Standard_F2s_v2</f>
        <v>0</v>
      </c>
      <c r="G254" s="374">
        <f>Standard_F2s_v2_Cores*Quantity_Tenant4_Standard_F2s_v2</f>
        <v>0</v>
      </c>
      <c r="H254" s="374">
        <f>Standard_F2s_v2_Cores*Quantity_Tenant5_Standard_F2s_v2</f>
        <v>0</v>
      </c>
      <c r="I254" s="374">
        <f>Standard_F2s_v2_Cores*Quantity_Tenant6_Standard_F2s_v2</f>
        <v>0</v>
      </c>
      <c r="K254" s="483" t="s">
        <v>287</v>
      </c>
      <c r="L254" s="374">
        <f>Standard_F2s_v2_Memory*Quantity_Tenant1_Standard_F2s_v2</f>
        <v>0</v>
      </c>
      <c r="M254" s="374">
        <f>Standard_F2s_v2_Memory*Quantity_Tenant2_Standard_F2s_v2</f>
        <v>0</v>
      </c>
      <c r="N254" s="374">
        <f>Standard_F2s_v2_Memory*Quantity_Tenant3_Standard_F2s_v2</f>
        <v>0</v>
      </c>
      <c r="O254" s="374">
        <f>Standard_F2s_v2_Memory*Quantity_Tenant4_Standard_F2s_v2</f>
        <v>0</v>
      </c>
      <c r="P254" s="374">
        <f>Standard_F2s_v2_Memory*Quantity_Tenant5_Standard_F2s_v2</f>
        <v>0</v>
      </c>
      <c r="Q254" s="374">
        <f>Standard_F2s_v2_Memory*Quantity_Tenant6_Standard_F2s_v2</f>
        <v>0</v>
      </c>
      <c r="R254" s="223">
        <f>IF(Quantity_Tenant6_Standard_F2s_v2=0,0,Standard_F2s_v2_Memory)</f>
        <v>0</v>
      </c>
    </row>
    <row r="255" spans="3:18" x14ac:dyDescent="0.25">
      <c r="C255" s="483" t="s">
        <v>288</v>
      </c>
      <c r="D255" s="374">
        <f>Standard_F4s_v2_Cores*Quantity_Tenant1_Standard_F4s_v2</f>
        <v>0</v>
      </c>
      <c r="E255" s="374">
        <f>Standard_F4s_v2_Cores*Quantity_Tenant2_Standard_F4s_v2</f>
        <v>0</v>
      </c>
      <c r="F255" s="374">
        <f>Standard_F4s_v2_Cores*Quantity_Tenant3_Standard_F4s_v2</f>
        <v>0</v>
      </c>
      <c r="G255" s="374">
        <f>Standard_F4s_v2_Cores*Quantity_Tenant4_Standard_F4s_v2</f>
        <v>0</v>
      </c>
      <c r="H255" s="374">
        <f>Standard_F4s_v2_Cores*Quantity_Tenant5_Standard_F4s_v2</f>
        <v>0</v>
      </c>
      <c r="I255" s="374">
        <f>Standard_F4s_v2_Cores*Quantity_Tenant6_Standard_F4s_v2</f>
        <v>0</v>
      </c>
      <c r="K255" s="483" t="s">
        <v>288</v>
      </c>
      <c r="L255" s="374">
        <f>Standard_F4s_v2_Memory*Quantity_Tenant1_Standard_F4s_v2</f>
        <v>0</v>
      </c>
      <c r="M255" s="374">
        <f>Standard_F4s_v2_Memory*Quantity_Tenant2_Standard_F4s_v2</f>
        <v>0</v>
      </c>
      <c r="N255" s="374">
        <f>Standard_F4s_v2_Memory*Quantity_Tenant3_Standard_F4s_v2</f>
        <v>0</v>
      </c>
      <c r="O255" s="374">
        <f>Standard_F4s_v2_Memory*Quantity_Tenant4_Standard_F4s_v2</f>
        <v>0</v>
      </c>
      <c r="P255" s="374">
        <f>Standard_F4s_v2_Memory*Quantity_Tenant5_Standard_F4s_v2</f>
        <v>0</v>
      </c>
      <c r="Q255" s="374">
        <f>Standard_F4s_v2_Memory*Quantity_Tenant6_Standard_F4s_v2</f>
        <v>0</v>
      </c>
      <c r="R255" s="223">
        <f>IF(Quantity_Tenant6_Standard_F4s_v2=0,0,Standard_F4s_v2_Memory)</f>
        <v>0</v>
      </c>
    </row>
    <row r="256" spans="3:18" x14ac:dyDescent="0.25">
      <c r="C256" s="483" t="s">
        <v>289</v>
      </c>
      <c r="D256" s="374">
        <f>Standard_F8s_v2_Cores*Quantity_Tenant1_Standard_F8s_v2</f>
        <v>0</v>
      </c>
      <c r="E256" s="374">
        <f>Standard_F8s_v2_Cores*Quantity_Tenant2_Standard_F8s_v2</f>
        <v>0</v>
      </c>
      <c r="F256" s="374">
        <f>Standard_F8s_v2_Cores*Quantity_Tenant3_Standard_F8s_v2</f>
        <v>0</v>
      </c>
      <c r="G256" s="374">
        <f>Standard_F8s_v2_Cores*Quantity_Tenant4_Standard_F8s_v2</f>
        <v>0</v>
      </c>
      <c r="H256" s="374">
        <f>Standard_F8s_v2_Cores*Quantity_Tenant5_Standard_F8s_v2</f>
        <v>0</v>
      </c>
      <c r="I256" s="374">
        <f>Standard_F8s_v2_Cores*Quantity_Tenant6_Standard_F8s_v2</f>
        <v>0</v>
      </c>
      <c r="K256" s="483" t="s">
        <v>289</v>
      </c>
      <c r="L256" s="374">
        <f>Standard_F8s_v2_Memory*Quantity_Tenant1_Standard_F8s_v2</f>
        <v>0</v>
      </c>
      <c r="M256" s="374">
        <f>Standard_F8s_v2_Memory*Quantity_Tenant2_Standard_F8s_v2</f>
        <v>0</v>
      </c>
      <c r="N256" s="374">
        <f>Standard_F8s_v2_Memory*Quantity_Tenant3_Standard_F8s_v2</f>
        <v>0</v>
      </c>
      <c r="O256" s="374">
        <f>Standard_F8s_v2_Memory*Quantity_Tenant4_Standard_F8s_v2</f>
        <v>0</v>
      </c>
      <c r="P256" s="374">
        <f>Standard_F8s_v2_Memory*Quantity_Tenant5_Standard_F8s_v2</f>
        <v>0</v>
      </c>
      <c r="Q256" s="374">
        <f>Standard_F8s_v2_Memory*Quantity_Tenant6_Standard_F8s_v2</f>
        <v>0</v>
      </c>
      <c r="R256" s="223">
        <f>IF(Quantity_Tenant6_Standard_F8s_v2=0,0,Standard_F8s_v2_Memory)</f>
        <v>0</v>
      </c>
    </row>
    <row r="257" spans="3:18" x14ac:dyDescent="0.25">
      <c r="C257" s="483" t="s">
        <v>290</v>
      </c>
      <c r="D257" s="374">
        <f>Standard_F16s_v2_Cores*Quantity_Tenant1_Standard_F16s_v2</f>
        <v>0</v>
      </c>
      <c r="E257" s="374">
        <f>Standard_F16s_v2_Cores*Quantity_Tenant2_Standard_F16s_v2</f>
        <v>0</v>
      </c>
      <c r="F257" s="374">
        <f>Standard_F16s_v2_Cores*Quantity_Tenant3_Standard_F16s_v2</f>
        <v>0</v>
      </c>
      <c r="G257" s="374">
        <f>Standard_F16s_v2_Cores*Quantity_Tenant4_Standard_F16s_v2</f>
        <v>0</v>
      </c>
      <c r="H257" s="374">
        <f>Standard_F16s_v2_Cores*Quantity_Tenant5_Standard_F16s_v2</f>
        <v>0</v>
      </c>
      <c r="I257" s="374">
        <f>Standard_F16s_v2_Cores*Quantity_Tenant6_Standard_F16s_v2</f>
        <v>0</v>
      </c>
      <c r="K257" s="483" t="s">
        <v>290</v>
      </c>
      <c r="L257" s="374">
        <f>Standard_F16s_v2_Memory*Quantity_Tenant1_Standard_F16s_v2</f>
        <v>0</v>
      </c>
      <c r="M257" s="374">
        <f>Standard_F16s_v2_Memory*Quantity_Tenant2_Standard_F16s_v2</f>
        <v>0</v>
      </c>
      <c r="N257" s="374">
        <f>Standard_F16s_v2_Memory*Quantity_Tenant3_Standard_F16s_v2</f>
        <v>0</v>
      </c>
      <c r="O257" s="374">
        <f>Standard_F16s_v2_Memory*Quantity_Tenant4_Standard_F16s_v2</f>
        <v>0</v>
      </c>
      <c r="P257" s="374">
        <f>Standard_F16s_v2_Memory*Quantity_Tenant5_Standard_F16s_v2</f>
        <v>0</v>
      </c>
      <c r="Q257" s="374">
        <f>Standard_F16s_v2_Memory*Quantity_Tenant6_Standard_F16s_v2</f>
        <v>0</v>
      </c>
      <c r="R257" s="223">
        <f>IF(Quantity_Tenant6_Standard_F16s_v2=0,0,Standard_F16s_v2_Memory)</f>
        <v>0</v>
      </c>
    </row>
    <row r="258" spans="3:18" x14ac:dyDescent="0.25">
      <c r="C258" s="483" t="s">
        <v>291</v>
      </c>
      <c r="D258" s="374">
        <f>Standard_F32s_v2_Cores*Quantity_Tenant1_Standard_F32s_v2</f>
        <v>0</v>
      </c>
      <c r="E258" s="374">
        <f>Standard_F32s_v2_Cores*Quantity_Tenant2_Standard_F32s_v2</f>
        <v>0</v>
      </c>
      <c r="F258" s="374">
        <f>Standard_F32s_v2_Cores*Quantity_Tenant3_Standard_F32s_v2</f>
        <v>0</v>
      </c>
      <c r="G258" s="374">
        <f>Standard_F32s_v2_Cores*Quantity_Tenant4_Standard_F32s_v2</f>
        <v>0</v>
      </c>
      <c r="H258" s="374">
        <f>Standard_F32s_v2_Cores*Quantity_Tenant5_Standard_F32s_v2</f>
        <v>0</v>
      </c>
      <c r="I258" s="374">
        <f>Standard_F32s_v2_Cores*Quantity_Tenant6_Standard_F32s_v2</f>
        <v>0</v>
      </c>
      <c r="K258" s="483" t="s">
        <v>291</v>
      </c>
      <c r="L258" s="374">
        <f>Standard_F32s_v2_Memory*Quantity_Tenant1_Standard_F32s_v2</f>
        <v>0</v>
      </c>
      <c r="M258" s="374">
        <f>Standard_F32s_v2_Memory*Quantity_Tenant2_Standard_F32s_v2</f>
        <v>0</v>
      </c>
      <c r="N258" s="374">
        <f>Standard_F32s_v2_Memory*Quantity_Tenant3_Standard_F32s_v2</f>
        <v>0</v>
      </c>
      <c r="O258" s="374">
        <f>Standard_F32s_v2_Memory*Quantity_Tenant4_Standard_F32s_v2</f>
        <v>0</v>
      </c>
      <c r="P258" s="374">
        <f>Standard_F32s_v2_Memory*Quantity_Tenant5_Standard_F32s_v2</f>
        <v>0</v>
      </c>
      <c r="Q258" s="374">
        <f>Standard_F32s_v2_Memory*Quantity_Tenant6_Standard_F32s_v2</f>
        <v>0</v>
      </c>
      <c r="R258" s="223">
        <f>IF(Quantity_Tenant6_Standard_F32s_v2=0,0,Standard_F32s_v2_Memory)</f>
        <v>0</v>
      </c>
    </row>
    <row r="259" spans="3:18" x14ac:dyDescent="0.25">
      <c r="C259" s="483" t="s">
        <v>292</v>
      </c>
      <c r="D259" s="374">
        <f>Standard_F64s_v2_Cores*Quantity_Tenant1_Standard_F64s_v2</f>
        <v>0</v>
      </c>
      <c r="E259" s="374">
        <f>Standard_F64s_v2_Cores*Quantity_Tenant2_Standard_F64s_v2</f>
        <v>0</v>
      </c>
      <c r="F259" s="374">
        <f>Standard_F64s_v2_Cores*Quantity_Tenant3_Standard_F64s_v2</f>
        <v>0</v>
      </c>
      <c r="G259" s="374">
        <f>Standard_F64s_v2_Cores*Quantity_Tenant4_Standard_F64s_v2</f>
        <v>0</v>
      </c>
      <c r="H259" s="374">
        <f>Standard_F64s_v2_Cores*Quantity_Tenant5_Standard_F64s_v2</f>
        <v>0</v>
      </c>
      <c r="I259" s="374">
        <f>Standard_F64s_v2_Cores*Quantity_Tenant6_Standard_F64s_v2</f>
        <v>0</v>
      </c>
      <c r="K259" s="483" t="s">
        <v>292</v>
      </c>
      <c r="L259" s="374">
        <f>Standard_F64s_v2_Memory*Quantity_Tenant1_Standard_F64s_v2</f>
        <v>0</v>
      </c>
      <c r="M259" s="374">
        <f>Standard_F64s_v2_Memory*Quantity_Tenant2_Standard_F64s_v2</f>
        <v>0</v>
      </c>
      <c r="N259" s="374">
        <f>Standard_F64s_v2_Memory*Quantity_Tenant3_Standard_F64s_v2</f>
        <v>0</v>
      </c>
      <c r="O259" s="374">
        <f>Standard_F64s_v2_Memory*Quantity_Tenant4_Standard_F64s_v2</f>
        <v>0</v>
      </c>
      <c r="P259" s="374">
        <f>Standard_F64s_v2_Memory*Quantity_Tenant5_Standard_F64s_v2</f>
        <v>0</v>
      </c>
      <c r="Q259" s="374">
        <f>Standard_F64s_v2_Memory*Quantity_Tenant6_Standard_F64s_v2</f>
        <v>0</v>
      </c>
      <c r="R259" s="223">
        <f>IF(Quantity_Tenant6_Standard_F64s_v2=0,0,Standard_F64s_v2_Memory)</f>
        <v>0</v>
      </c>
    </row>
    <row r="260" spans="3:18" x14ac:dyDescent="0.25">
      <c r="C260" s="422" t="s">
        <v>295</v>
      </c>
      <c r="D260" s="372">
        <f>Standard_NC6s_v3_Cores*Quantity_Tenant1_Standard_NC6s_v3</f>
        <v>0</v>
      </c>
      <c r="E260" s="372">
        <f>Standard_NC6s_v3_Cores*Quantity_Tenant2_Standard_NC6s_v3</f>
        <v>0</v>
      </c>
      <c r="F260" s="372">
        <f>Standard_NC6s_v3_Cores*Quantity_Tenant3_Standard_NC6s_v3</f>
        <v>0</v>
      </c>
      <c r="G260" s="372">
        <f>Standard_NC6s_v3_Cores*Quantity_Tenant4_Standard_NC6s_v3</f>
        <v>0</v>
      </c>
      <c r="H260" s="372">
        <f>Standard_NC6s_v3_Cores*Quantity_Tenant5_Standard_NC6s_v3</f>
        <v>0</v>
      </c>
      <c r="I260" s="372">
        <f>IF(AND(GPUTypeSelected="true",NVIDIA_v100_SelectionType="true"),Standard_NC6s_v3_Cores*Quantity_Tenant6_Standard_NC6s_v3,0)</f>
        <v>0</v>
      </c>
      <c r="K260" s="422" t="s">
        <v>295</v>
      </c>
      <c r="L260" s="372">
        <f>Standard_NC6s_v3_Memory*Quantity_Tenant1_Standard_NC6s_v3</f>
        <v>0</v>
      </c>
      <c r="M260" s="372">
        <f>Standard_NC6s_v3_Memory*Quantity_Tenant2_Standard_NC6s_v3</f>
        <v>0</v>
      </c>
      <c r="N260" s="372">
        <f>Standard_NC6s_v3_Memory*Quantity_Tenant3_Standard_NC6s_v3</f>
        <v>0</v>
      </c>
      <c r="O260" s="372">
        <f>Standard_NC6s_v3_Memory*Quantity_Tenant4_Standard_NC6s_v3</f>
        <v>0</v>
      </c>
      <c r="P260" s="372">
        <f>Standard_NC6s_v3_Memory*Quantity_Tenant5_Standard_NC6s_v3</f>
        <v>0</v>
      </c>
      <c r="Q260" s="372">
        <f>IF(AND(GPUTypeSelected="true",NVIDIA_v100_SelectionType="true"),Standard_NC6s_v3_Memory*Quantity_Tenant6_Standard_NC6s_v3,0)</f>
        <v>0</v>
      </c>
    </row>
    <row r="261" spans="3:18" x14ac:dyDescent="0.25">
      <c r="C261" s="422" t="s">
        <v>297</v>
      </c>
      <c r="D261" s="372">
        <f>Standard_NC12s_v3_Cores*Quantity_Tenant1_Standard_NC12s_v3</f>
        <v>0</v>
      </c>
      <c r="E261" s="372">
        <f>Standard_NC12s_v3_Cores*Quantity_Tenant2_Standard_NC12s_v3</f>
        <v>0</v>
      </c>
      <c r="F261" s="372">
        <f>Standard_NC12s_v3_Cores*Quantity_Tenant3_Standard_NC12s_v3</f>
        <v>0</v>
      </c>
      <c r="G261" s="372">
        <f>Standard_NC12s_v3_Cores*Quantity_Tenant4_Standard_NC12s_v3</f>
        <v>0</v>
      </c>
      <c r="H261" s="372">
        <f>Standard_NC12s_v3_Cores*Quantity_Tenant5_Standard_NC12s_v3</f>
        <v>0</v>
      </c>
      <c r="I261" s="372">
        <f>IF(AND(GPUTypeSelected="true",NVIDIA_v100_SelectionType="true"), Standard_NC12s_v3_Cores*Quantity_Tenant6_Standard_NC12s_v3,0)</f>
        <v>0</v>
      </c>
      <c r="K261" s="422" t="s">
        <v>297</v>
      </c>
      <c r="L261" s="372">
        <f>Standard_NC12s_v3_Memory*Quantity_Tenant1_Standard_NC12s_v3</f>
        <v>0</v>
      </c>
      <c r="M261" s="372">
        <f>Standard_NC12s_v3_Memory*Quantity_Tenant2_Standard_NC12s_v3</f>
        <v>0</v>
      </c>
      <c r="N261" s="372">
        <f>Standard_NC12s_v3_Memory*Quantity_Tenant3_Standard_NC12s_v3</f>
        <v>0</v>
      </c>
      <c r="O261" s="372">
        <f>Standard_NC12s_v3_Memory*Quantity_Tenant4_Standard_NC12s_v3</f>
        <v>0</v>
      </c>
      <c r="P261" s="372">
        <f>Standard_NC12s_v3_Memory*Quantity_Tenant5_Standard_NC12s_v3</f>
        <v>0</v>
      </c>
      <c r="Q261" s="372">
        <f>IF(AND(GPUTypeSelected="true",NVIDIA_v100_SelectionType="true"),Standard_NC12s_v3_Memory*Quantity_Tenant6_Standard_NC12s_v3,0)</f>
        <v>0</v>
      </c>
    </row>
    <row r="262" spans="3:18" x14ac:dyDescent="0.25">
      <c r="C262" s="422" t="s">
        <v>298</v>
      </c>
      <c r="D262" s="372">
        <f>Standard_NC24s_v3_Cores*Quantity_Tenant1_Standard_NC24s_v3</f>
        <v>0</v>
      </c>
      <c r="E262" s="372">
        <f>Standard_NC24s_v3_Cores*Quantity_Tenant2_Standard_NC24s_v3</f>
        <v>0</v>
      </c>
      <c r="F262" s="372">
        <f>Standard_NC24s_v3_Cores*Quantity_Tenant3_Standard_NC24s_v3</f>
        <v>0</v>
      </c>
      <c r="G262" s="372">
        <f>Standard_NC24s_v3_Cores*Quantity_Tenant4_Standard_NC24s_v3</f>
        <v>0</v>
      </c>
      <c r="H262" s="372">
        <f>Standard_NC24s_v3_Cores*Quantity_Tenant5_Standard_NC24s_v3</f>
        <v>0</v>
      </c>
      <c r="I262" s="372">
        <f>IF(AND(GPUTypeSelected="true",NVIDIA_v100_SelectionType="true"),Standard_NC24s_v3_Cores*Quantity_Tenant6_Standard_NC24s_v3,0)</f>
        <v>0</v>
      </c>
      <c r="K262" s="422" t="s">
        <v>298</v>
      </c>
      <c r="L262" s="372">
        <f>Standard_NC24s_v3_Memory*Quantity_Tenant1_Standard_NC24s_v3</f>
        <v>0</v>
      </c>
      <c r="M262" s="372">
        <f>Standard_NC24s_v3_Memory*Quantity_Tenant2_Standard_NC24s_v3</f>
        <v>0</v>
      </c>
      <c r="N262" s="372">
        <f>Standard_NC24s_v3_Memory*Quantity_Tenant3_Standard_NC24s_v3</f>
        <v>0</v>
      </c>
      <c r="O262" s="372">
        <f>Standard_NC24s_v3_Memory*Quantity_Tenant4_Standard_NC24s_v3</f>
        <v>0</v>
      </c>
      <c r="P262" s="372">
        <f>Standard_NC24s_v3_Memory*Quantity_Tenant5_Standard_NC24s_v3</f>
        <v>0</v>
      </c>
      <c r="Q262" s="372">
        <f>IF(AND(GPUTypeSelected="true",NVIDIA_v100_SelectionType="true"),Standard_NC24s_v3_Memory*Quantity_Tenant6_Standard_NC24s_v3,0)</f>
        <v>0</v>
      </c>
    </row>
    <row r="263" spans="3:18" x14ac:dyDescent="0.25">
      <c r="C263" s="427" t="s">
        <v>300</v>
      </c>
      <c r="D263" s="373">
        <f>Standard_NC4as_T4_v3_Cores*Quantity_Tenant1_Standard_NC4as_T4_v3</f>
        <v>0</v>
      </c>
      <c r="E263" s="373">
        <f>Standard_NC4as_T4_v3_Cores*Quantity_Tenant2_Standard_NC4as_T4_v3</f>
        <v>0</v>
      </c>
      <c r="F263" s="373">
        <f>Standard_NC4as_T4_v3_Cores*Quantity_Tenant3_Standard_NC4as_T4_v3</f>
        <v>0</v>
      </c>
      <c r="G263" s="373">
        <f>Standard_NC4as_T4_v3_Cores*Quantity_Tenant4_Standard_NC4as_T4_v3</f>
        <v>0</v>
      </c>
      <c r="H263" s="373">
        <f>Standard_NC4as_T4_v3_Cores*Quantity_Tenant5_Standard_NC4as_T4_v3</f>
        <v>0</v>
      </c>
      <c r="I263" s="373">
        <f>IF(AND(GPUTypeSelected="true",NVIDIA_T4_SelectionType="true"),Standard_NC4as_T4_v3_Cores*Quantity_Tenant6_Standard_NC4as_T4_v3,0)</f>
        <v>0</v>
      </c>
      <c r="K263" s="427" t="s">
        <v>300</v>
      </c>
      <c r="L263" s="373">
        <f>Standard_NC4as_T4_v3_Memory*Quantity_Tenant1_Standard_NC4as_T4_v3</f>
        <v>0</v>
      </c>
      <c r="M263" s="373">
        <f>Standard_NC4as_T4_v3_Memory*Quantity_Tenant2_Standard_NC4as_T4_v3</f>
        <v>0</v>
      </c>
      <c r="N263" s="373">
        <f>Standard_NC4as_T4_v3_Memory*Quantity_Tenant3_Standard_NC4as_T4_v3</f>
        <v>0</v>
      </c>
      <c r="O263" s="373">
        <f>Standard_NC4as_T4_v3_Memory*Quantity_Tenant4_Standard_NC4as_T4_v3</f>
        <v>0</v>
      </c>
      <c r="P263" s="373">
        <f>Standard_NC4as_T4_v3_Memory*Quantity_Tenant5_Standard_NC4as_T4_v3</f>
        <v>0</v>
      </c>
      <c r="Q263" s="373">
        <f>IF(AND(GPUTypeSelected="true",NVIDIA_T4_SelectionType="true"),Standard_NC4as_T4_v3_Memory*Quantity_Tenant6_Standard_NC4as_T4_v3,0)</f>
        <v>0</v>
      </c>
    </row>
    <row r="264" spans="3:18" x14ac:dyDescent="0.25">
      <c r="C264" s="427" t="s">
        <v>301</v>
      </c>
      <c r="D264" s="373">
        <f>Standard_NC8as_T4_v3_Cores*Quantity_Tenant1_Standard_NC8as_T4_v3</f>
        <v>0</v>
      </c>
      <c r="E264" s="373">
        <f>Standard_NC8as_T4_v3_Cores*Quantity_Tenant2_Standard_NC8as_T4_v3</f>
        <v>0</v>
      </c>
      <c r="F264" s="373">
        <f>Standard_NC8as_T4_v3_Cores*Quantity_Tenant3_Standard_NC8as_T4_v3</f>
        <v>0</v>
      </c>
      <c r="G264" s="373">
        <f>Standard_NC8as_T4_v3_Cores*Quantity_Tenant4_Standard_NC8as_T4_v3</f>
        <v>0</v>
      </c>
      <c r="H264" s="373">
        <f>Standard_NC8as_T4_v3_Cores*Quantity_Tenant5_Standard_NC8as_T4_v3</f>
        <v>0</v>
      </c>
      <c r="I264" s="373">
        <f>IF(AND(GPUTypeSelected="true",NVIDIA_T4_SelectionType="true"),Standard_NC8as_T4_v3_Cores*Quantity_Tenant6_Standard_NC8as_T4_v3,0)</f>
        <v>0</v>
      </c>
      <c r="K264" s="427" t="s">
        <v>301</v>
      </c>
      <c r="L264" s="373">
        <f>Standard_NC8as_T4_v3_Memory*Quantity_Tenant1_Standard_NC8as_T4_v3</f>
        <v>0</v>
      </c>
      <c r="M264" s="373">
        <f>Standard_NC8as_T4_v3_Memory*Quantity_Tenant2_Standard_NC8as_T4_v3</f>
        <v>0</v>
      </c>
      <c r="N264" s="373">
        <f>Standard_NC8as_T4_v3_Memory*Quantity_Tenant3_Standard_NC8as_T4_v3</f>
        <v>0</v>
      </c>
      <c r="O264" s="373">
        <f>Standard_NC8as_T4_v3_Memory*Quantity_Tenant4_Standard_NC8as_T4_v3</f>
        <v>0</v>
      </c>
      <c r="P264" s="373">
        <f>Standard_NC8as_T4_v3_Memory*Quantity_Tenant5_Standard_NC8as_T4_v3</f>
        <v>0</v>
      </c>
      <c r="Q264" s="373">
        <f>IF(AND(GPUTypeSelected="true",NVIDIA_T4_SelectionType="true"),Standard_NC8as_T4_v3_Memory*Quantity_Tenant6_Standard_NC8as_T4_v3,0)</f>
        <v>0</v>
      </c>
    </row>
    <row r="265" spans="3:18" x14ac:dyDescent="0.25">
      <c r="C265" s="427" t="s">
        <v>302</v>
      </c>
      <c r="D265" s="373">
        <f>Standard_NC16as_T4_v3_Cores*Quantity_Tenant1_Standard_NC16as_T4_v3</f>
        <v>0</v>
      </c>
      <c r="E265" s="373">
        <f>Standard_NC16as_T4_v3_Cores*Quantity_Tenant2_Standard_NC16as_T4_v3</f>
        <v>0</v>
      </c>
      <c r="F265" s="373">
        <f>Standard_NC16as_T4_v3_Cores*Quantity_Tenant3_Standard_NC16as_T4_v3</f>
        <v>0</v>
      </c>
      <c r="G265" s="373">
        <f>Standard_NC16as_T4_v3_Cores*Quantity_Tenant4_Standard_NC16as_T4_v3</f>
        <v>0</v>
      </c>
      <c r="H265" s="373">
        <f>Standard_NC16as_T4_v3_Cores*Quantity_Tenant5_Standard_NC16as_T4_v3</f>
        <v>0</v>
      </c>
      <c r="I265" s="373">
        <f>IF(AND(GPUTypeSelected="true",NVIDIA_T4_SelectionType="true"),Standard_NC16as_T4_v3_Cores*Quantity_Tenant6_Standard_NC16as_T4_v3,0)</f>
        <v>0</v>
      </c>
      <c r="K265" s="427" t="s">
        <v>302</v>
      </c>
      <c r="L265" s="373">
        <f>Standard_NC16as_T4_v3_Memory*Quantity_Tenant1_Standard_NC16as_T4_v3</f>
        <v>0</v>
      </c>
      <c r="M265" s="373">
        <f>Standard_NC16as_T4_v3_Memory*Quantity_Tenant2_Standard_NC16as_T4_v3</f>
        <v>0</v>
      </c>
      <c r="N265" s="373">
        <f>Standard_NC16as_T4_v3_Memory*Quantity_Tenant3_Standard_NC16as_T4_v3</f>
        <v>0</v>
      </c>
      <c r="O265" s="373">
        <f>Standard_NC16as_T4_v3_Memory*Quantity_Tenant4_Standard_NC16as_T4_v3</f>
        <v>0</v>
      </c>
      <c r="P265" s="373">
        <f>Standard_NC16as_T4_v3_Memory*Quantity_Tenant5_Standard_NC16as_T4_v3</f>
        <v>0</v>
      </c>
      <c r="Q265" s="373">
        <f>IF(AND(GPUTypeSelected="true",NVIDIA_T4_SelectionType="true"),Standard_NC16as_T4_v3_Memory*Quantity_Tenant6_Standard_NC16as_T4_v3,0)</f>
        <v>0</v>
      </c>
    </row>
    <row r="266" spans="3:18" x14ac:dyDescent="0.25">
      <c r="C266" s="427" t="s">
        <v>303</v>
      </c>
      <c r="D266" s="373">
        <f>Standard_NC64as_T4_v3_Cores*Quantity_Tenant1_Standard_NC64as_T4_v3</f>
        <v>0</v>
      </c>
      <c r="E266" s="373">
        <f>Standard_NC64as_T4_v3_Cores*Quantity_Tenant2_Standard_NC64as_T4_v3</f>
        <v>0</v>
      </c>
      <c r="F266" s="373">
        <f>Standard_NC64as_T4_v3_Cores*Quantity_Tenant3_Standard_NC64as_T4_v3</f>
        <v>0</v>
      </c>
      <c r="G266" s="373">
        <f>Standard_NC64as_T4_v3_Cores*Quantity_Tenant4_Standard_NC64as_T4_v3</f>
        <v>0</v>
      </c>
      <c r="H266" s="373">
        <f>Standard_NC64as_T4_v3_Cores*Quantity_Tenant5_Standard_NC64as_T4_v3</f>
        <v>0</v>
      </c>
      <c r="I266" s="373">
        <f>IF(AND(GPUTypeSelected="true",NVIDIA_T4_SelectionType="true"),Standard_NC64as_T4_v3_Cores*Quantity_Tenant6_Standard_NC64as_T4_v3,0)</f>
        <v>0</v>
      </c>
      <c r="K266" s="427" t="s">
        <v>303</v>
      </c>
      <c r="L266" s="373">
        <f>Standard_NC64as_T4_v3_Memory*Quantity_Tenant1_Standard_NC64as_T4_v3</f>
        <v>0</v>
      </c>
      <c r="M266" s="373">
        <f>Standard_NC64as_T4_v3_Memory*Quantity_Tenant2_Standard_NC64as_T4_v3</f>
        <v>0</v>
      </c>
      <c r="N266" s="373">
        <f>Standard_NC64as_T4_v3_Memory*Quantity_Tenant3_Standard_NC64as_T4_v3</f>
        <v>0</v>
      </c>
      <c r="O266" s="373">
        <f>Standard_NC64as_T4_v3_Memory*Quantity_Tenant4_Standard_NC64as_T4_v3</f>
        <v>0</v>
      </c>
      <c r="P266" s="373">
        <f>Standard_NC64as_T4_v3_Memory*Quantity_Tenant5_Standard_NC64as_T4_v3</f>
        <v>0</v>
      </c>
      <c r="Q266" s="373">
        <f>IF(AND(GPUTypeSelected="true",NVIDIA_T4_SelectionType="true"),Standard_NC64as_T4_v3_Memory*Quantity_Tenant6_Standard_NC64as_T4_v3,0)</f>
        <v>0</v>
      </c>
    </row>
    <row r="267" spans="3:18" x14ac:dyDescent="0.25">
      <c r="C267" s="427" t="s">
        <v>709</v>
      </c>
      <c r="D267" s="373">
        <f>Standard_NC24ads_A100_v4_Cores*Quantity_Tenant1_Standard_NC24ads_A100_v4</f>
        <v>0</v>
      </c>
      <c r="E267" s="373">
        <f>Standard_NC24ads_A100_v4_Cores*Quantity_Tenant2_Standard_NC24ads_A100_v4</f>
        <v>0</v>
      </c>
      <c r="F267" s="373">
        <f>Standard_NC24ads_A100_v4_Cores*Quantity_Tenant3_Standard_NC24ads_A100_v4</f>
        <v>0</v>
      </c>
      <c r="G267" s="373">
        <f>Standard_NC24ads_A100_v4_Cores*Quantity_Tenant4_Standard_NC24ads_A100_v4</f>
        <v>0</v>
      </c>
      <c r="H267" s="373">
        <f>Standard_NC24ads_A100_v4_Cores*Quantity_Tenant5_Standard_NC24ads_A100_v4</f>
        <v>0</v>
      </c>
      <c r="I267" s="373">
        <f>IF(AND(GPUTypeSelected="true",NVIDIA_A100_SelectionType="true"),Standard_NC24ads_A100_v4_Cores*Quantity_Tenant6_Standard_NC24ads_A100_v4,0)</f>
        <v>0</v>
      </c>
      <c r="K267" s="427" t="s">
        <v>709</v>
      </c>
      <c r="L267" s="373">
        <f>Standard_NC24ads_A100_v4_Memory*Quantity_Tenant1_Standard_NC24ads_A100_v4</f>
        <v>0</v>
      </c>
      <c r="M267" s="373">
        <f>Standard_NC24ads_A100_v4_Memory*Quantity_Tenant2_Standard_NC24ads_A100_v4</f>
        <v>0</v>
      </c>
      <c r="N267" s="373">
        <f>Standard_NC24ads_A100_v4_Memory*Quantity_Tenant3_Standard_NC24ads_A100_v4</f>
        <v>0</v>
      </c>
      <c r="O267" s="373">
        <f>Standard_NC24ads_A100_v4_Memory*Quantity_Tenant4_Standard_NC24ads_A100_v4</f>
        <v>0</v>
      </c>
      <c r="P267" s="373">
        <f>Standard_NC24ads_A100_v4_Memory*Quantity_Tenant5_Standard_NC24ads_A100_v4</f>
        <v>0</v>
      </c>
      <c r="Q267" s="373">
        <f>IF(AND(GPUTypeSelected="true",NVIDIA_A100_SelectionType="true"),Standard_NC24ads_A100_v4_Memory*Quantity_Tenant6_Standard_NC24ads_A100_v4,0)</f>
        <v>0</v>
      </c>
    </row>
    <row r="268" spans="3:18" x14ac:dyDescent="0.25">
      <c r="C268" s="427" t="s">
        <v>710</v>
      </c>
      <c r="D268" s="373">
        <f>Standard_NC48ads_A100_v4_Cores*Quantity_Tenant1_Standard_NC48ads_A100_v4</f>
        <v>0</v>
      </c>
      <c r="E268" s="373">
        <f>Standard_NC48ads_A100_v4_Cores*Quantity_Tenant2_Standard_NC48ads_A100_v4</f>
        <v>0</v>
      </c>
      <c r="F268" s="373">
        <f>Standard_NC48ads_A100_v4_Cores*Quantity_Tenant3_Standard_NC48ads_A100_v4</f>
        <v>0</v>
      </c>
      <c r="G268" s="373">
        <f>Standard_NC48ads_A100_v4_Cores*Quantity_Tenant4_Standard_NC48ads_A100_v4</f>
        <v>0</v>
      </c>
      <c r="H268" s="373">
        <f>Standard_NC48ads_A100_v4_Cores*Quantity_Tenant5_Standard_NC48ads_A100_v4</f>
        <v>0</v>
      </c>
      <c r="I268" s="373">
        <f>IF(AND(GPUTypeSelected="true",NVIDIA_A100_SelectionType="true"),Standard_NC48ads_A100_v4_Cores*Quantity_Tenant6_Standard_NC48ads_A100_v4,0)</f>
        <v>0</v>
      </c>
      <c r="K268" s="427" t="s">
        <v>710</v>
      </c>
      <c r="L268" s="373">
        <f>Standard_NC48ads_A100_v4_Memory*Quantity_Tenant1_Standard_NC48ads_A100_v4</f>
        <v>0</v>
      </c>
      <c r="M268" s="373">
        <f>Standard_NC48ads_A100_v4_Memory*Quantity_Tenant2_Standard_NC48ads_A100_v4</f>
        <v>0</v>
      </c>
      <c r="N268" s="373">
        <f>Standard_NC48ads_A100_v4_Memory*Quantity_Tenant3_Standard_NC48ads_A100_v4</f>
        <v>0</v>
      </c>
      <c r="O268" s="373">
        <f>Standard_NC48ads_A100_v4_Memory*Quantity_Tenant4_Standard_NC48ads_A100_v4</f>
        <v>0</v>
      </c>
      <c r="P268" s="373">
        <f>Standard_NC48ads_A100_v4_Memory*Quantity_Tenant5_Standard_NC48ads_A100_v4</f>
        <v>0</v>
      </c>
      <c r="Q268" s="373">
        <f>IF(AND(GPUTypeSelected="true",NVIDIA_A100_SelectionType="true"),Standard_NC48ads_A100_v4_Memory*Quantity_Tenant6_Standard_NC48ads_A100_v4,0)</f>
        <v>0</v>
      </c>
    </row>
    <row r="269" spans="3:18" x14ac:dyDescent="0.25">
      <c r="C269" s="429" t="s">
        <v>305</v>
      </c>
      <c r="D269" s="374">
        <f>Standard_NV4as_v4_Cores*Quantity_Tenant1_Standard_NV4as_v4</f>
        <v>0</v>
      </c>
      <c r="E269" s="374" cm="1">
        <f t="array" ref="E269">Standard_NV4as_v4_Cores*Quantity_Tenant2_Standard_NV4as_v4</f>
        <v>0</v>
      </c>
      <c r="F269" s="374">
        <f>Standard_NV4as_v4_Cores*Quantity_Tenant3_Standard_NV4as_v4</f>
        <v>0</v>
      </c>
      <c r="G269" s="374">
        <f>Standard_NV4as_v4_Cores*Quantity_Tenant4_Standard_NV4as_v4</f>
        <v>0</v>
      </c>
      <c r="H269" s="374">
        <f>Standard_NV4as_v4_Cores*Quantity_Tenant5_Standard_NV4as_v4</f>
        <v>0</v>
      </c>
      <c r="I269" s="374">
        <f>IF(GPUTypeSelected="true",IF(AND(AMD_GPUType_Selection_Check="true",Sku_6_GPU_Partition_Number = Standard_NV4as_v4_GPU),Standard_NV4as_v4_Cores*Quantity_Tenant6_Standard_NV4as_v4,0),0)</f>
        <v>0</v>
      </c>
      <c r="K269" s="429" t="s">
        <v>305</v>
      </c>
      <c r="L269" s="374">
        <f>Standard_NV4as_v4_Memory*Quantity_Tenant1_Standard_NV4as_v4</f>
        <v>0</v>
      </c>
      <c r="M269" s="374">
        <f>Standard_NV4as_v4_Memory*Quantity_Tenant2_Standard_NV4as_v4</f>
        <v>0</v>
      </c>
      <c r="N269" s="374">
        <f>Standard_NV4as_v4_Memory*Quantity_Tenant3_Standard_NV4as_v4</f>
        <v>0</v>
      </c>
      <c r="O269" s="374">
        <f>Standard_NV4as_v4_Memory*Quantity_Tenant4_Standard_NV4as_v4</f>
        <v>0</v>
      </c>
      <c r="P269" s="374">
        <f>Standard_NV4as_v4_Memory*Quantity_Tenant5_Standard_NV4as_v4</f>
        <v>0</v>
      </c>
      <c r="Q269" s="374">
        <f>IF(GPUTypeSelected="true",IF(AND(AMD_GPUType_Selection_Check="true",Sku_6_GPU_Partition_Number = Standard_NV4as_v4_GPU),Standard_NV4as_v4_Memory*Quantity_Tenant6_Standard_NV4as_v4,0),0)</f>
        <v>0</v>
      </c>
    </row>
    <row r="270" spans="3:18" x14ac:dyDescent="0.25">
      <c r="C270" s="429" t="s">
        <v>307</v>
      </c>
      <c r="D270" s="374">
        <f>Standard_NV8as_v4_Cores*Quantity_Tenant1_Standard_NV8as_v4</f>
        <v>0</v>
      </c>
      <c r="E270" s="374">
        <f>Standard_NV8as_v4_Cores*Quantity_Tenant2_Standard_NV8as_v4</f>
        <v>0</v>
      </c>
      <c r="F270" s="374">
        <f>Standard_NV8as_v4_Cores*Quantity_Tenant3_Standard_NV8as_v4</f>
        <v>0</v>
      </c>
      <c r="G270" s="374">
        <f>Standard_NV8as_v4_Cores*Quantity_Tenant4_Standard_NV8as_v4</f>
        <v>0</v>
      </c>
      <c r="H270" s="374">
        <f>Standard_NV8as_v4_Cores*Quantity_Tenant5_Standard_NV8as_v4</f>
        <v>0</v>
      </c>
      <c r="I270" s="374">
        <f>IF(GPUTypeSelected="true",IF(AND(AMD_GPUType_Selection_Check="true",Sku_6_GPU_Partition_Number = Standard_NV8as_v4_GPU),Standard_NV8as_v4_Cores*Quantity_Tenant6_Standard_NV8as_v4,0),0)</f>
        <v>0</v>
      </c>
      <c r="K270" s="429" t="s">
        <v>307</v>
      </c>
      <c r="L270" s="374">
        <f>Standard_NV8as_v4_Memory*Quantity_Tenant1_Standard_NV8as_v4</f>
        <v>0</v>
      </c>
      <c r="M270" s="374">
        <f>Standard_NV8as_v4_Memory*Quantity_Tenant2_Standard_NV8as_v4</f>
        <v>0</v>
      </c>
      <c r="N270" s="374">
        <f>Standard_NV8as_v4_Memory*Quantity_Tenant3_Standard_NV8as_v4</f>
        <v>0</v>
      </c>
      <c r="O270" s="374">
        <f>Standard_NV8as_v4_Memory*Quantity_Tenant4_Standard_NV8as_v4</f>
        <v>0</v>
      </c>
      <c r="P270" s="374">
        <f>Standard_NV8as_v4_Memory*Quantity_Tenant5_Standard_NV8as_v4</f>
        <v>0</v>
      </c>
      <c r="Q270" s="374">
        <f>IF(GPUTypeSelected="true",IF(AND(AMD_GPUType_Selection_Check="true",Sku_6_GPU_Partition_Number = Standard_NV8as_v4_GPU),Standard_NV8as_v4_Memory*Quantity_Tenant6_Standard_NV8as_v4,0),0)</f>
        <v>0</v>
      </c>
    </row>
    <row r="271" spans="3:18" x14ac:dyDescent="0.25">
      <c r="C271" s="429" t="s">
        <v>309</v>
      </c>
      <c r="D271" s="374">
        <f>Standard_NV16as_v4_Cores*Quantity_Tenant1_Standard_NV16as_v4</f>
        <v>0</v>
      </c>
      <c r="E271" s="374">
        <f>Standard_NV16as_v4_Cores*Quantity_Tenant2_Standard_NV16as_v4</f>
        <v>0</v>
      </c>
      <c r="F271" s="374">
        <f>Standard_NV16as_v4_Cores*Quantity_Tenant3_Standard_NV16as_v4</f>
        <v>0</v>
      </c>
      <c r="G271" s="374">
        <f>Standard_NV16as_v4_Cores*Quantity_Tenant4_Standard_NV16as_v4</f>
        <v>0</v>
      </c>
      <c r="H271" s="374">
        <f>Standard_NV16as_v4_Cores*Quantity_Tenant5_Standard_NV16as_v4</f>
        <v>0</v>
      </c>
      <c r="I271" s="374">
        <f>IF(GPUTypeSelected="true",IF(AND(AMD_GPUType_Selection_Check="true",Sku_6_GPU_Partition_Number = Standard_NV16as_v4_GPU),Standard_NV16as_v4_Cores*Quantity_Tenant6_Standard_NV16as_v4,0),0)</f>
        <v>0</v>
      </c>
      <c r="K271" s="429" t="s">
        <v>309</v>
      </c>
      <c r="L271" s="374">
        <f>Standard_NV16as_v4_Memory*Quantity_Tenant1_Standard_NV16as_v4</f>
        <v>0</v>
      </c>
      <c r="M271" s="374">
        <f>Standard_NV16as_v4_Memory*Quantity_Tenant2_Standard_NV16as_v4</f>
        <v>0</v>
      </c>
      <c r="N271" s="374">
        <f>Standard_NV16as_v4_Memory*Quantity_Tenant3_Standard_NV16as_v4</f>
        <v>0</v>
      </c>
      <c r="O271" s="374">
        <f>Standard_NV16as_v4_Memory*Quantity_Tenant4_Standard_NV16as_v4</f>
        <v>0</v>
      </c>
      <c r="P271" s="374">
        <f>Standard_NV16as_v4_Memory*Quantity_Tenant5_Standard_NV16as_v4</f>
        <v>0</v>
      </c>
      <c r="Q271" s="374">
        <f>IF(GPUTypeSelected="true",IF(AND(AMD_GPUType_Selection_Check="true",Sku_6_GPU_Partition_Number = Standard_NV16as_v4_GPU),Standard_NV16as_v4_Memory*Quantity_Tenant6_Standard_NV16as_v4,0),0)</f>
        <v>0</v>
      </c>
    </row>
    <row r="272" spans="3:18" x14ac:dyDescent="0.25">
      <c r="C272" s="429" t="s">
        <v>312</v>
      </c>
      <c r="D272" s="374">
        <f>Standard_NV32as_v4_Cores*Quantity_Tenant1_Standard_NV32as_v4</f>
        <v>0</v>
      </c>
      <c r="E272" s="374">
        <f>Standard_NV32as_v4_Cores*Quantity_Tenant2_Standard_NV32as_v4</f>
        <v>0</v>
      </c>
      <c r="F272" s="374">
        <f>Standard_NV32as_v4_Cores*Quantity_Tenant3_Standard_NV32as_v4</f>
        <v>0</v>
      </c>
      <c r="G272" s="374">
        <f>Standard_NV32as_v4_Cores*Quantity_Tenant4_Standard_NV32as_v4</f>
        <v>0</v>
      </c>
      <c r="H272" s="374">
        <f>Standard_NV32as_v4_Cores*Quantity_Tenant5_Standard_NV32as_v4</f>
        <v>0</v>
      </c>
      <c r="I272" s="374">
        <f>IF(GPUTypeSelected="true",IF(AND(AMD_GPUType_Selection_Check="true",Sku_6_GPU_Partition_Number = Standard_NV32as_v4_GPU),Standard_NV32as_v4_Cores*Quantity_Tenant6_Standard_NV32as_v4,0),0)</f>
        <v>0</v>
      </c>
      <c r="K272" s="429" t="s">
        <v>312</v>
      </c>
      <c r="L272" s="374">
        <f>Standard_NV32as_v4_Memory*Quantity_Tenant1_Standard_NV32as_v4</f>
        <v>0</v>
      </c>
      <c r="M272" s="374">
        <f>Standard_NV32as_v4_Memory*Quantity_Tenant2_Standard_NV32as_v4</f>
        <v>0</v>
      </c>
      <c r="N272" s="374">
        <f>Standard_NV32as_v4_Memory*Quantity_Tenant3_Standard_NV32as_v4</f>
        <v>0</v>
      </c>
      <c r="O272" s="374">
        <f>Standard_NV32as_v4_Memory*Quantity_Tenant4_Standard_NV32as_v4</f>
        <v>0</v>
      </c>
      <c r="P272" s="374">
        <f>Standard_NV32as_v4_Memory*Quantity_Tenant5_Standard_NV32as_v4</f>
        <v>0</v>
      </c>
      <c r="Q272" s="374">
        <f>IF(GPUTypeSelected="true",IF(AND(AMD_GPUType_Selection_Check="true",Sku_6_GPU_Partition_Number = Standard_NV32as_v4_GPU),Standard_NV32as_v4_Memory*Quantity_Tenant6_Standard_NV32as_v4,0),0)</f>
        <v>0</v>
      </c>
    </row>
    <row r="273" spans="3:21" x14ac:dyDescent="0.25">
      <c r="C273" s="494" t="s">
        <v>363</v>
      </c>
      <c r="D273" s="513">
        <f t="shared" ref="D273:I273" si="0">SUM(D180:D272)</f>
        <v>1</v>
      </c>
      <c r="E273" s="512">
        <f t="shared" si="0"/>
        <v>124</v>
      </c>
      <c r="F273" s="513">
        <f t="shared" si="0"/>
        <v>319</v>
      </c>
      <c r="G273" s="512">
        <f t="shared" si="0"/>
        <v>607</v>
      </c>
      <c r="H273" s="513">
        <f t="shared" si="0"/>
        <v>40</v>
      </c>
      <c r="I273" s="512">
        <f t="shared" si="0"/>
        <v>0</v>
      </c>
      <c r="K273" s="494" t="s">
        <v>364</v>
      </c>
      <c r="L273" s="519">
        <f t="shared" ref="L273:Q273" si="1">SUM(L180:L272)</f>
        <v>3.5</v>
      </c>
      <c r="M273" s="518">
        <f t="shared" si="1"/>
        <v>211.5</v>
      </c>
      <c r="N273" s="519">
        <f t="shared" si="1"/>
        <v>575.75</v>
      </c>
      <c r="O273" s="518">
        <f t="shared" si="1"/>
        <v>1079.75</v>
      </c>
      <c r="P273" s="519">
        <f t="shared" si="1"/>
        <v>280</v>
      </c>
      <c r="Q273" s="512">
        <f t="shared" si="1"/>
        <v>0</v>
      </c>
    </row>
    <row r="274" spans="3:21" ht="15.75" thickBot="1" x14ac:dyDescent="0.3">
      <c r="C274" s="495" t="s">
        <v>365</v>
      </c>
      <c r="D274" s="515">
        <f>Quantity_Type1_Tenants</f>
        <v>0</v>
      </c>
      <c r="E274" s="514">
        <f>Quantity_Type2_Tenants</f>
        <v>0</v>
      </c>
      <c r="F274" s="515">
        <f>Quantity_Type3_Tenants</f>
        <v>0</v>
      </c>
      <c r="G274" s="514">
        <f>Quantity_Type4_Tenants</f>
        <v>0</v>
      </c>
      <c r="H274" s="515">
        <f>Quantity_Type5_Tenants</f>
        <v>0</v>
      </c>
      <c r="I274" s="514">
        <f>Quantity_Type6_Tenants</f>
        <v>1</v>
      </c>
      <c r="K274" s="495" t="s">
        <v>365</v>
      </c>
      <c r="L274" s="515">
        <f>Quantity_Type1_Tenants</f>
        <v>0</v>
      </c>
      <c r="M274" s="514">
        <f>Quantity_Type2_Tenants</f>
        <v>0</v>
      </c>
      <c r="N274" s="515">
        <f>Quantity_Type3_Tenants</f>
        <v>0</v>
      </c>
      <c r="O274" s="514">
        <f>Quantity_Type4_Tenants</f>
        <v>0</v>
      </c>
      <c r="P274" s="515">
        <f>Quantity_Type5_Tenants</f>
        <v>0</v>
      </c>
      <c r="Q274" s="514">
        <f>Quantity_Type6_Tenants</f>
        <v>1</v>
      </c>
    </row>
    <row r="275" spans="3:21" ht="15.75" thickBot="1" x14ac:dyDescent="0.3">
      <c r="C275" s="496" t="s">
        <v>366</v>
      </c>
      <c r="D275" s="517">
        <f>Quantity_Inv_VM_Cores_Tenant1*Quantity_Type1_Tenants</f>
        <v>0</v>
      </c>
      <c r="E275" s="516">
        <f>Quantity_Inv_VM_Cores_Tenant2*Quantity_Type2_Tenants</f>
        <v>0</v>
      </c>
      <c r="F275" s="517">
        <f>Quantity_Inv_VM_Cores_Tenant3*Quantity_Type3_Tenants</f>
        <v>0</v>
      </c>
      <c r="G275" s="516">
        <f>Quantity_Inv_VM_Cores_Tenant4*Quantity_Type4_Tenants</f>
        <v>0</v>
      </c>
      <c r="H275" s="517">
        <f>Quantity_Inv_VM_Cores_Tenant5*Quantity_Type5_Tenants</f>
        <v>0</v>
      </c>
      <c r="I275" s="516">
        <f>Quantity_Inv_VM_Cores_Tenant6*Quantity_Type6_Tenants</f>
        <v>0</v>
      </c>
      <c r="K275" s="496" t="s">
        <v>367</v>
      </c>
      <c r="L275" s="517">
        <f>Quantity_Inv_VM_Memory_Tenant1*Quantity_Type1_Tenants</f>
        <v>0</v>
      </c>
      <c r="M275" s="516">
        <f>Quantity_Inv_VM_Memory_Tenant2*Quantity_Type2_Tenants</f>
        <v>0</v>
      </c>
      <c r="N275" s="517">
        <f>Quantity_Inv_VM_Memory_Tenant3*Quantity_Type3_Tenants</f>
        <v>0</v>
      </c>
      <c r="O275" s="516">
        <f>Quantity_Inv_VM_Memory_Tenant4*Quantity_Type4_Tenants</f>
        <v>0</v>
      </c>
      <c r="P275" s="517">
        <f>Quantity_Inv_VM_Memory_Tenant5*Quantity_Type5_Tenants</f>
        <v>0</v>
      </c>
      <c r="Q275" s="516">
        <f>Quantity_Inv_VM_Memory_Tenant6*Quantity_Type6_Tenants</f>
        <v>0</v>
      </c>
    </row>
    <row r="276" spans="3:21" ht="15.75" thickBot="1" x14ac:dyDescent="0.3">
      <c r="C276" s="496" t="s">
        <v>368</v>
      </c>
      <c r="D276" s="58">
        <f>(Consumed_Tenant1_VM_Cores+Consumed_Tenant2_VM_Cores+Consumed_Tenant3_VM_Cores+Consumed_Tenant4_VM_Cores+Consumed_Tenant5_VM_Cores+Consumed_Tenant6_VM_Cores)/Quantity_VtoP_core_ratio</f>
        <v>0</v>
      </c>
      <c r="K276" s="496" t="s">
        <v>369</v>
      </c>
      <c r="L276" s="58">
        <f>Consumed_Tenant1_VM_Memory+Consumed_Tenant2_VM_Memory+Consumed_Tenant3_VM_Memory+Consumed_Tenant4_VM_Memory+Consumed_Tenant5_VM_Memory+Consumed_Tenant6_VM_Memory</f>
        <v>0</v>
      </c>
    </row>
    <row r="277" spans="3:21" ht="15.75" thickBot="1" x14ac:dyDescent="0.3">
      <c r="D277" s="285"/>
      <c r="K277" s="496" t="s">
        <v>370</v>
      </c>
      <c r="L277" s="58">
        <f>MAX(R180:R259)</f>
        <v>0</v>
      </c>
      <c r="P277" s="243" t="s">
        <v>371</v>
      </c>
      <c r="Q277" s="243" t="s">
        <v>372</v>
      </c>
      <c r="R277" s="243" t="s">
        <v>373</v>
      </c>
    </row>
    <row r="278" spans="3:21" x14ac:dyDescent="0.25">
      <c r="D278" s="285"/>
      <c r="L278" s="285"/>
      <c r="P278" s="399">
        <f>SUM(Q180:Q259)</f>
        <v>0</v>
      </c>
      <c r="Q278" s="399">
        <f>SUM(Q260:Q272)</f>
        <v>0</v>
      </c>
      <c r="R278" s="520">
        <f>IF(Selected_Largest_HA_Tenant &gt; Largest_Infra_VM_GPUonly, Selected_Largest_HA_Tenant, Largest_Infra_VM_GPUonly)</f>
        <v>18</v>
      </c>
    </row>
    <row r="281" spans="3:21" ht="15.75" thickBot="1" x14ac:dyDescent="0.3">
      <c r="D281" s="474" t="s">
        <v>374</v>
      </c>
      <c r="E281" s="475" t="s">
        <v>375</v>
      </c>
      <c r="F281" s="474" t="s">
        <v>376</v>
      </c>
      <c r="G281" s="475" t="s">
        <v>377</v>
      </c>
      <c r="H281" s="474" t="s">
        <v>378</v>
      </c>
      <c r="I281" s="475" t="s">
        <v>379</v>
      </c>
      <c r="L281" s="474" t="s">
        <v>380</v>
      </c>
      <c r="M281" s="475" t="s">
        <v>381</v>
      </c>
      <c r="N281" s="474" t="s">
        <v>382</v>
      </c>
      <c r="O281" s="475" t="s">
        <v>383</v>
      </c>
      <c r="P281" s="474" t="s">
        <v>384</v>
      </c>
      <c r="Q281" s="473" t="s">
        <v>385</v>
      </c>
      <c r="T281" s="497" t="s">
        <v>386</v>
      </c>
      <c r="U281" s="498"/>
    </row>
    <row r="282" spans="3:21" x14ac:dyDescent="0.25">
      <c r="C282" s="476" t="s">
        <v>155</v>
      </c>
      <c r="D282" s="216">
        <f>Basic_A0_Disk*Quantity_Tenant1_Basic_A0</f>
        <v>0</v>
      </c>
      <c r="E282" s="216">
        <f>Basic_A0_Disk*Quantity_Tenant2_Basic_A0</f>
        <v>2300</v>
      </c>
      <c r="F282" s="216">
        <f>Basic_A0_Disk*Quantity_Tenant3_Basic_A0</f>
        <v>0</v>
      </c>
      <c r="G282" s="216">
        <f>Basic_A0_Disk*Quantity_Tenant4_Basic_A0</f>
        <v>0</v>
      </c>
      <c r="H282" s="216">
        <f>Basic_A0_Disk*Quantity_Tenant5_Basic_A0</f>
        <v>0</v>
      </c>
      <c r="I282" s="216">
        <f>Basic_A0_Disk*Quantity_Tenant6_Basic_A0</f>
        <v>0</v>
      </c>
      <c r="K282" s="476" t="s">
        <v>155</v>
      </c>
      <c r="L282" s="216">
        <f>Basic_A0_Temp*Quantity_Tenant1_Basic_A0</f>
        <v>0</v>
      </c>
      <c r="M282" s="216">
        <f>Basic_A0_Temp*Quantity_Tenant2_Basic_A0</f>
        <v>276</v>
      </c>
      <c r="N282" s="216">
        <f>Basic_A0_Temp*Quantity_Tenant3_Basic_A0</f>
        <v>0</v>
      </c>
      <c r="O282" s="216">
        <f>Basic_A0_Temp*Quantity_Tenant4_Basic_A0</f>
        <v>0</v>
      </c>
      <c r="P282" s="216">
        <f>Basic_A0_Temp*Quantity_Tenant5_Basic_A0</f>
        <v>0</v>
      </c>
      <c r="Q282" s="216">
        <f>Basic_A0_Temp*Quantity_Tenant6_Basic_A0</f>
        <v>0</v>
      </c>
      <c r="S282" s="476" t="s">
        <v>155</v>
      </c>
      <c r="T282" s="477" t="s">
        <v>156</v>
      </c>
      <c r="U282" s="499"/>
    </row>
    <row r="283" spans="3:21" x14ac:dyDescent="0.25">
      <c r="C283" s="478" t="s">
        <v>159</v>
      </c>
      <c r="D283" s="372">
        <f>Basic_A1_Disk*Quantity_Tenant1_Basic_A1</f>
        <v>0</v>
      </c>
      <c r="E283" s="372">
        <f>Basic_A1_Disk*Quantity_Tenant2_Basic_A1</f>
        <v>0</v>
      </c>
      <c r="F283" s="372">
        <f>Basic_A1_Disk*Quantity_Tenant3_Basic_A1</f>
        <v>0</v>
      </c>
      <c r="G283" s="372">
        <f>Basic_A1_Disk*Quantity_Tenant4_Basic_A1</f>
        <v>0</v>
      </c>
      <c r="H283" s="372">
        <f>Basic_A1_Disk*Quantity_Tenant5_Basic_A1</f>
        <v>0</v>
      </c>
      <c r="I283" s="372">
        <f>Basic_A1_Disk*Quantity_Tenant6_Basic_A1</f>
        <v>0</v>
      </c>
      <c r="K283" s="478" t="s">
        <v>159</v>
      </c>
      <c r="L283" s="372">
        <f>Basic_A1_Temp*Quantity_Tenant1_Basic_A1</f>
        <v>0</v>
      </c>
      <c r="M283" s="372">
        <f>Basic_A1_Temp*Quantity_Tenant2_Basic_A1</f>
        <v>0</v>
      </c>
      <c r="N283" s="372">
        <f>Basic_A1_Temp*Quantity_Tenant3_Basic_A1</f>
        <v>0</v>
      </c>
      <c r="O283" s="372">
        <f>Basic_A1_Temp*Quantity_Tenant4_Basic_A1</f>
        <v>0</v>
      </c>
      <c r="P283" s="372">
        <f>Basic_A1_Temp*Quantity_Tenant5_Basic_A1</f>
        <v>0</v>
      </c>
      <c r="Q283" s="372">
        <f>Basic_A1_Temp*Quantity_Tenant6_Basic_A1</f>
        <v>0</v>
      </c>
      <c r="S283" s="478" t="s">
        <v>159</v>
      </c>
      <c r="T283" s="477" t="s">
        <v>156</v>
      </c>
      <c r="U283" s="499"/>
    </row>
    <row r="284" spans="3:21" x14ac:dyDescent="0.25">
      <c r="C284" s="478" t="s">
        <v>162</v>
      </c>
      <c r="D284" s="372">
        <f>Basic_A2_Disk*Quantity_Tenant1_Basic_A2</f>
        <v>0</v>
      </c>
      <c r="E284" s="372">
        <f>Basic_A2_Disk*Quantity_Tenant2_Basic_A2</f>
        <v>0</v>
      </c>
      <c r="F284" s="372">
        <f>Basic_A2_Disk*Quantity_Tenant3_Basic_A2</f>
        <v>0</v>
      </c>
      <c r="G284" s="372">
        <f>Basic_A2_Disk*Quantity_Tenant4_Basic_A2</f>
        <v>0</v>
      </c>
      <c r="H284" s="372">
        <f>Basic_A2_Disk*Quantity_Tenant5_Basic_A2</f>
        <v>0</v>
      </c>
      <c r="I284" s="372">
        <f>Basic_A2_Disk*Quantity_Tenant6_Basic_A2</f>
        <v>0</v>
      </c>
      <c r="K284" s="478" t="s">
        <v>162</v>
      </c>
      <c r="L284" s="372">
        <f>Basic_A2_Temp*Quantity_Tenant1_Basic_A2</f>
        <v>0</v>
      </c>
      <c r="M284" s="372">
        <f>Basic_A2_Temp*Quantity_Tenant2_Basic_A2</f>
        <v>0</v>
      </c>
      <c r="N284" s="372">
        <f>Basic_A2_Temp*Quantity_Tenant3_Basic_A2</f>
        <v>0</v>
      </c>
      <c r="O284" s="372">
        <f>Basic_A2_Temp*Quantity_Tenant4_Basic_A2</f>
        <v>0</v>
      </c>
      <c r="P284" s="372">
        <f>Basic_A2_Temp*Quantity_Tenant5_Basic_A2</f>
        <v>0</v>
      </c>
      <c r="Q284" s="372">
        <f>Basic_A2_Temp*Quantity_Tenant6_Basic_A2</f>
        <v>0</v>
      </c>
      <c r="S284" s="478" t="s">
        <v>162</v>
      </c>
      <c r="T284" s="477" t="s">
        <v>156</v>
      </c>
      <c r="U284" s="499"/>
    </row>
    <row r="285" spans="3:21" x14ac:dyDescent="0.25">
      <c r="C285" s="478" t="s">
        <v>164</v>
      </c>
      <c r="D285" s="372">
        <f>Basic_A3_Disk*Quantity_Tenant1_Basic_A3</f>
        <v>0</v>
      </c>
      <c r="E285" s="372">
        <f>Basic_A3_Disk*Quantity_Tenant2_Basic_A3</f>
        <v>0</v>
      </c>
      <c r="F285" s="372">
        <f>Basic_A3_Disk*Quantity_Tenant3_Basic_A3</f>
        <v>0</v>
      </c>
      <c r="G285" s="372">
        <f>Basic_A3_Disk*Quantity_Tenant4_Basic_A3</f>
        <v>0</v>
      </c>
      <c r="H285" s="372">
        <f>Basic_A3_Disk*Quantity_Tenant5_Basic_A3</f>
        <v>0</v>
      </c>
      <c r="I285" s="372">
        <f>Basic_A3_Disk*Quantity_Tenant6_Basic_A3</f>
        <v>0</v>
      </c>
      <c r="K285" s="478" t="s">
        <v>164</v>
      </c>
      <c r="L285" s="372">
        <f>Basic_A3_Temp*Quantity_Tenant1_Basic_A3</f>
        <v>0</v>
      </c>
      <c r="M285" s="372">
        <f>Basic_A3_Temp*Quantity_Tenant2_Basic_A3</f>
        <v>0</v>
      </c>
      <c r="N285" s="372">
        <f>Basic_A3_Temp*Quantity_Tenant3_Basic_A3</f>
        <v>0</v>
      </c>
      <c r="O285" s="372">
        <f>Basic_A3_Temp*Quantity_Tenant4_Basic_A3</f>
        <v>0</v>
      </c>
      <c r="P285" s="372">
        <f>Basic_A3_Temp*Quantity_Tenant5_Basic_A3</f>
        <v>0</v>
      </c>
      <c r="Q285" s="372">
        <f>Basic_A3_Temp*Quantity_Tenant6_Basic_A3</f>
        <v>0</v>
      </c>
      <c r="S285" s="478" t="s">
        <v>164</v>
      </c>
      <c r="T285" s="477" t="s">
        <v>156</v>
      </c>
      <c r="U285" s="499"/>
    </row>
    <row r="286" spans="3:21" x14ac:dyDescent="0.25">
      <c r="C286" s="478" t="s">
        <v>167</v>
      </c>
      <c r="D286" s="372">
        <f>Basic_A4_Disk*Quantity_Tenant1_Basic_A4</f>
        <v>0</v>
      </c>
      <c r="E286" s="372">
        <f>Basic_A4_Disk*Quantity_Tenant2_Basic_A4</f>
        <v>0</v>
      </c>
      <c r="F286" s="372">
        <f>Basic_A4_Disk*Quantity_Tenant3_Basic_A4</f>
        <v>0</v>
      </c>
      <c r="G286" s="372">
        <f>Basic_A4_Disk*Quantity_Tenant4_Basic_A4</f>
        <v>0</v>
      </c>
      <c r="H286" s="372">
        <f>Basic_A4_Disk*Quantity_Tenant5_Basic_A4</f>
        <v>0</v>
      </c>
      <c r="I286" s="372">
        <f>Basic_A4_Disk*Quantity_Tenant6_Basic_A4</f>
        <v>0</v>
      </c>
      <c r="K286" s="478" t="s">
        <v>167</v>
      </c>
      <c r="L286" s="372">
        <f>Basic_A4_Temp*Quantity_Tenant1_Basic_A4</f>
        <v>0</v>
      </c>
      <c r="M286" s="372">
        <f>Basic_A4_Temp*Quantity_Tenant2_Basic_A4</f>
        <v>0</v>
      </c>
      <c r="N286" s="372">
        <f>Basic_A4_Temp*Quantity_Tenant3_Basic_A4</f>
        <v>0</v>
      </c>
      <c r="O286" s="372">
        <f>Basic_A4_Temp*Quantity_Tenant4_Basic_A4</f>
        <v>0</v>
      </c>
      <c r="P286" s="372">
        <f>Basic_A4_Temp*Quantity_Tenant5_Basic_A4</f>
        <v>0</v>
      </c>
      <c r="Q286" s="372">
        <f>Basic_A4_Cores*Quantity_Tenant6_Basic_A4</f>
        <v>0</v>
      </c>
      <c r="S286" s="478" t="s">
        <v>167</v>
      </c>
      <c r="T286" s="477" t="s">
        <v>156</v>
      </c>
      <c r="U286" s="499"/>
    </row>
    <row r="287" spans="3:21" x14ac:dyDescent="0.25">
      <c r="C287" s="479" t="s">
        <v>169</v>
      </c>
      <c r="D287" s="373">
        <f>Standard_A0_Disk*Quantity_Tenant1_Standard_A0</f>
        <v>0</v>
      </c>
      <c r="E287" s="373">
        <f>Standard_A0_Disk*Quantity_Tenant2_Standard_A0</f>
        <v>0</v>
      </c>
      <c r="F287" s="373">
        <f>Standard_A0_Disk*Quantity_Tenant3_Standard_A0</f>
        <v>0</v>
      </c>
      <c r="G287" s="373">
        <f>Standard_A0_Disk*Quantity_Tenant4_Standard_A0</f>
        <v>0</v>
      </c>
      <c r="H287" s="373">
        <f>Standard_A0_Disk*Quantity_Tenant5_Standard_A0</f>
        <v>0</v>
      </c>
      <c r="I287" s="373">
        <f>Standard_A0_Disk*Quantity_Tenant6_Standard_A0</f>
        <v>0</v>
      </c>
      <c r="K287" s="479" t="s">
        <v>169</v>
      </c>
      <c r="L287" s="373">
        <f>Standard_A0_Temp*Quantity_Tenant1_Standard_A0</f>
        <v>0</v>
      </c>
      <c r="M287" s="373">
        <f>Standard_A0_Temp*Quantity_Tenant2_Standard_A0</f>
        <v>0</v>
      </c>
      <c r="N287" s="373">
        <f>Standard_A0_Temp*Quantity_Tenant3_Standard_A0</f>
        <v>0</v>
      </c>
      <c r="O287" s="373">
        <f>Standard_A0_Temp*Quantity_Tenant4_Standard_A0</f>
        <v>0</v>
      </c>
      <c r="P287" s="373">
        <f>Standard_A0_Temp*Quantity_Tenant5_Standard_A0</f>
        <v>0</v>
      </c>
      <c r="Q287" s="373">
        <f>Standard_A0_Temp*Quantity_Tenant6_Standard_A0</f>
        <v>0</v>
      </c>
      <c r="S287" s="479" t="s">
        <v>169</v>
      </c>
      <c r="T287" s="481" t="s">
        <v>156</v>
      </c>
      <c r="U287" s="499"/>
    </row>
    <row r="288" spans="3:21" x14ac:dyDescent="0.25">
      <c r="C288" s="480" t="s">
        <v>170</v>
      </c>
      <c r="D288" s="217">
        <f>Standard_A1_Disk*Quantity_Tenant1_Standard_A1</f>
        <v>0</v>
      </c>
      <c r="E288" s="217">
        <f>Standard_A1_Disk*Quantity_Tenant2_Standard_A1</f>
        <v>3040</v>
      </c>
      <c r="F288" s="217">
        <f>Standard_A1_Disk*Quantity_Tenant3_Standard_A1</f>
        <v>8480</v>
      </c>
      <c r="G288" s="217">
        <f>Standard_A1_Disk*Quantity_Tenant4_Standard_A1</f>
        <v>15520</v>
      </c>
      <c r="H288" s="217">
        <f>Standard_A1_Disk*Quantity_Tenant5_Standard_A1</f>
        <v>0</v>
      </c>
      <c r="I288" s="217">
        <f>Standard_A1_Disk*Quantity_Tenant6_Standard_A1</f>
        <v>0</v>
      </c>
      <c r="K288" s="480" t="s">
        <v>170</v>
      </c>
      <c r="L288" s="217">
        <f>Standard_A1_Temp*Quantity_Tenant1_Standard_A1</f>
        <v>0</v>
      </c>
      <c r="M288" s="217">
        <f>Standard_A1_Temp*Quantity_Tenant2_Standard_A1</f>
        <v>570</v>
      </c>
      <c r="N288" s="217">
        <f>Standard_A1_Temp*Quantity_Tenant3_Standard_A1</f>
        <v>1590</v>
      </c>
      <c r="O288" s="217">
        <f>Standard_A1_Temp*Quantity_Tenant4_Standard_A1</f>
        <v>2910</v>
      </c>
      <c r="P288" s="217">
        <f>Standard_A1_Temp*Quantity_Tenant5_Standard_A1</f>
        <v>0</v>
      </c>
      <c r="Q288" s="217">
        <f>Standard_A1_Temp*Quantity_Tenant6_Standard_A1</f>
        <v>0</v>
      </c>
      <c r="S288" s="480" t="s">
        <v>170</v>
      </c>
      <c r="T288" s="481" t="s">
        <v>156</v>
      </c>
      <c r="U288" s="499"/>
    </row>
    <row r="289" spans="3:21" x14ac:dyDescent="0.25">
      <c r="C289" s="482" t="s">
        <v>171</v>
      </c>
      <c r="D289" s="510">
        <f>Standard_A2_Disk*Quantity_Tenant1_Standard_A2</f>
        <v>0</v>
      </c>
      <c r="E289" s="510">
        <f>Standard_A2_Disk*Quantity_Tenant2_Standard_A2</f>
        <v>1920</v>
      </c>
      <c r="F289" s="510">
        <f>Standard_A2_Disk*Quantity_Tenant3_Standard_A2</f>
        <v>6720</v>
      </c>
      <c r="G289" s="510">
        <f>Standard_A2_Disk*Quantity_Tenant4_Standard_A2</f>
        <v>13120</v>
      </c>
      <c r="H289" s="510">
        <f>Standard_A2_Disk*Quantity_Tenant5_Standard_A2</f>
        <v>0</v>
      </c>
      <c r="I289" s="510">
        <f>Standard_A2_Disk*Quantity_Tenant6_Standard_A2</f>
        <v>0</v>
      </c>
      <c r="K289" s="482" t="s">
        <v>171</v>
      </c>
      <c r="L289" s="510">
        <f>Standard_A2_Temp*Quantity_Tenant1_Standard_A2</f>
        <v>0</v>
      </c>
      <c r="M289" s="510">
        <f>Standard_A2_Temp*Quantity_Tenant2_Standard_A2</f>
        <v>720</v>
      </c>
      <c r="N289" s="510">
        <f>Standard_A2_Temp*Quantity_Tenant3_Standard_A2</f>
        <v>2520</v>
      </c>
      <c r="O289" s="510">
        <f>Standard_A2_Temp*Quantity_Tenant4_Standard_A2</f>
        <v>4920</v>
      </c>
      <c r="P289" s="510">
        <f>Standard_A2_Temp*Quantity_Tenant5_Standard_A2</f>
        <v>0</v>
      </c>
      <c r="Q289" s="510">
        <f>Standard_A2_Temp*Quantity_Tenant6_Standard_A2</f>
        <v>0</v>
      </c>
      <c r="S289" s="482" t="s">
        <v>171</v>
      </c>
      <c r="T289" s="481" t="s">
        <v>156</v>
      </c>
      <c r="U289" s="499"/>
    </row>
    <row r="290" spans="3:21" x14ac:dyDescent="0.25">
      <c r="C290" s="482" t="s">
        <v>172</v>
      </c>
      <c r="D290" s="510">
        <f>Standard_A3_Disk*Quantity_Tenant1_Standard_A3</f>
        <v>0</v>
      </c>
      <c r="E290" s="510">
        <f>Standard_A3_Disk*Quantity_Tenant2_Standard_A3</f>
        <v>3840</v>
      </c>
      <c r="F290" s="510">
        <f>Standard_A3_Disk*Quantity_Tenant3_Standard_A3</f>
        <v>13760</v>
      </c>
      <c r="G290" s="510">
        <f>Standard_A3_Disk*Quantity_Tenant4_Standard_A3</f>
        <v>26880</v>
      </c>
      <c r="H290" s="510">
        <f>Standard_A3_Disk*Quantity_Tenant5_Standard_A3</f>
        <v>0</v>
      </c>
      <c r="I290" s="510">
        <f>Standard_A3_Disk*Quantity_Tenant6_Standard_A3</f>
        <v>0</v>
      </c>
      <c r="K290" s="482" t="s">
        <v>172</v>
      </c>
      <c r="L290" s="510">
        <f>Standard_A3_Temp*Quantity_Tenant1_Standard_A3</f>
        <v>0</v>
      </c>
      <c r="M290" s="510">
        <f>Standard_A3_Temp*Quantity_Tenant2_Standard_A3</f>
        <v>1596</v>
      </c>
      <c r="N290" s="510">
        <f>Standard_A3_Temp*Quantity_Tenant3_Standard_A3</f>
        <v>5719</v>
      </c>
      <c r="O290" s="510">
        <f>Standard_A3_Temp*Quantity_Tenant4_Standard_A3</f>
        <v>11172</v>
      </c>
      <c r="P290" s="510">
        <f>Standard_A3_Temp*Quantity_Tenant5_Standard_A3</f>
        <v>0</v>
      </c>
      <c r="Q290" s="510">
        <f>Standard_A3_Temp*Quantity_Tenant6_Standard_A3</f>
        <v>0</v>
      </c>
      <c r="S290" s="482" t="s">
        <v>172</v>
      </c>
      <c r="T290" s="481" t="s">
        <v>156</v>
      </c>
      <c r="U290" s="499"/>
    </row>
    <row r="291" spans="3:21" x14ac:dyDescent="0.25">
      <c r="C291" s="482" t="s">
        <v>173</v>
      </c>
      <c r="D291" s="510">
        <f>Standard_A4_Disk*Quantity_Tenant1_Standard_A4</f>
        <v>0</v>
      </c>
      <c r="E291" s="510">
        <f>Standard_A4_Disk*Quantity_Tenant2_Standard_A4</f>
        <v>0</v>
      </c>
      <c r="F291" s="510">
        <f>Standard_A4_Disk*Quantity_Tenant3_Standard_A4</f>
        <v>0</v>
      </c>
      <c r="G291" s="510">
        <f>Standard_A4_Disk*Quantity_Tenant4_Standard_A4</f>
        <v>0</v>
      </c>
      <c r="H291" s="510">
        <f>Standard_A4_Disk*Quantity_Tenant5_Standard_A4</f>
        <v>0</v>
      </c>
      <c r="I291" s="510">
        <f>Standard_A4_Disk*Quantity_Tenant6_Standard_A4</f>
        <v>0</v>
      </c>
      <c r="K291" s="482" t="s">
        <v>173</v>
      </c>
      <c r="L291" s="510">
        <f>Standard_A4_Temp*Quantity_Tenant1_Standard_A4</f>
        <v>0</v>
      </c>
      <c r="M291" s="510">
        <f>Standard_A4_Temp*Quantity_Tenant2_Standard_A4</f>
        <v>0</v>
      </c>
      <c r="N291" s="510">
        <f>Standard_A4_Temp*Quantity_Tenant3_Standard_A4</f>
        <v>0</v>
      </c>
      <c r="O291" s="510">
        <f>Standard_A4_Temp*Quantity_Tenant4_Standard_A4</f>
        <v>0</v>
      </c>
      <c r="P291" s="510">
        <f>Standard_A4_Temp*Quantity_Tenant5_Standard_A4</f>
        <v>0</v>
      </c>
      <c r="Q291" s="510">
        <f>Standard_A4_Temp*Quantity_Tenant6_Standard_A4</f>
        <v>0</v>
      </c>
      <c r="S291" s="482" t="s">
        <v>173</v>
      </c>
      <c r="T291" s="481" t="s">
        <v>156</v>
      </c>
      <c r="U291" s="499"/>
    </row>
    <row r="292" spans="3:21" x14ac:dyDescent="0.25">
      <c r="C292" s="482" t="s">
        <v>175</v>
      </c>
      <c r="D292" s="510">
        <f>Standard_A5_Disk*Quantity_Tenant1_Standard_A5</f>
        <v>0</v>
      </c>
      <c r="E292" s="510">
        <f>Standard_A5_Disk*Quantity_Tenant2_Standard_A5</f>
        <v>0</v>
      </c>
      <c r="F292" s="510">
        <f>Standard_A5_Disk*Quantity_Tenant3_Standard_A5</f>
        <v>0</v>
      </c>
      <c r="G292" s="510">
        <f>Standard_A5_Disk*Quantity_Tenant4_Standard_A5</f>
        <v>0</v>
      </c>
      <c r="H292" s="510">
        <f>Standard_A5_Disk*Quantity_Tenant5_Standard_A5</f>
        <v>0</v>
      </c>
      <c r="I292" s="510">
        <f>Standard_A5_Disk*Quantity_Tenant6_Standard_A5</f>
        <v>0</v>
      </c>
      <c r="K292" s="482" t="s">
        <v>175</v>
      </c>
      <c r="L292" s="510">
        <f>Standard_A5_Temp*Quantity_Tenant1_Standard_A5</f>
        <v>0</v>
      </c>
      <c r="M292" s="510">
        <f>Standard_A5_Temp*Quantity_Tenant2_Standard_A5</f>
        <v>0</v>
      </c>
      <c r="N292" s="510">
        <f>Standard_A5_Temp*Quantity_Tenant3_Standard_A5</f>
        <v>0</v>
      </c>
      <c r="O292" s="510">
        <f>Standard_A5_Temp*Quantity_Tenant4_Standard_A5</f>
        <v>0</v>
      </c>
      <c r="P292" s="510">
        <f>Standard_A5_Temp*Quantity_Tenant5_Standard_A5</f>
        <v>0</v>
      </c>
      <c r="Q292" s="510">
        <f>Standard_A5_Temp*Quantity_Tenant6_Standard_A5</f>
        <v>0</v>
      </c>
      <c r="S292" s="482" t="s">
        <v>175</v>
      </c>
      <c r="T292" s="481" t="s">
        <v>156</v>
      </c>
      <c r="U292" s="499"/>
    </row>
    <row r="293" spans="3:21" x14ac:dyDescent="0.25">
      <c r="C293" s="482" t="s">
        <v>177</v>
      </c>
      <c r="D293" s="510">
        <f>Standard_A6_Disk*Quantity_Tenant1_Standard_A6</f>
        <v>0</v>
      </c>
      <c r="E293" s="510">
        <f>Standard_A6_Disk*Quantity_Tenant2_Standard_A6</f>
        <v>0</v>
      </c>
      <c r="F293" s="510">
        <f>Standard_A6_Disk*Quantity_Tenant3_Standard_A6</f>
        <v>0</v>
      </c>
      <c r="G293" s="510">
        <f>Standard_A6_Disk*Quantity_Tenant4_Standard_A6</f>
        <v>0</v>
      </c>
      <c r="H293" s="510">
        <f>Standard_A6_Disk*Quantity_Tenant5_Standard_A6</f>
        <v>0</v>
      </c>
      <c r="I293" s="510">
        <f>Standard_A6_Disk*Quantity_Tenant6_Standard_A6</f>
        <v>0</v>
      </c>
      <c r="K293" s="482" t="s">
        <v>177</v>
      </c>
      <c r="L293" s="510">
        <f>Standard_A6_Temp*Quantity_Tenant1_Standard_A6</f>
        <v>0</v>
      </c>
      <c r="M293" s="510">
        <f>Standard_A6_Temp*Quantity_Tenant2_Standard_A6</f>
        <v>0</v>
      </c>
      <c r="N293" s="510">
        <f>Standard_A6_Temp*Quantity_Tenant3_Standard_A6</f>
        <v>0</v>
      </c>
      <c r="O293" s="510">
        <f>Standard_A6_Temp*Quantity_Tenant4_Standard_A6</f>
        <v>0</v>
      </c>
      <c r="P293" s="510">
        <f>Standard_A6_Temp*Quantity_Tenant5_Standard_A6</f>
        <v>0</v>
      </c>
      <c r="Q293" s="510">
        <f>Standard_A6_Temp*Quantity_Tenant6_Standard_A6</f>
        <v>0</v>
      </c>
      <c r="S293" s="482" t="s">
        <v>177</v>
      </c>
      <c r="T293" s="481" t="s">
        <v>156</v>
      </c>
      <c r="U293" s="499"/>
    </row>
    <row r="294" spans="3:21" x14ac:dyDescent="0.25">
      <c r="C294" s="482" t="s">
        <v>179</v>
      </c>
      <c r="D294" s="510">
        <f>Standard_A7_Disk*Quantity_Tenant1_Standard_A7</f>
        <v>0</v>
      </c>
      <c r="E294" s="510">
        <f>Standard_A7_Disk*Quantity_Tenant2_Standard_A7</f>
        <v>0</v>
      </c>
      <c r="F294" s="510">
        <f>Standard_A7_Disk*Quantity_Tenant3_Standard_A7</f>
        <v>0</v>
      </c>
      <c r="G294" s="510">
        <f>Standard_A7_Disk*Quantity_Tenant4_Standard_A7</f>
        <v>0</v>
      </c>
      <c r="H294" s="510">
        <f>Standard_A7_Disk*Quantity_Tenant5_Standard_A7</f>
        <v>0</v>
      </c>
      <c r="I294" s="510">
        <f>Standard_A7_Disk*Quantity_Tenant6_Standard_A7</f>
        <v>0</v>
      </c>
      <c r="K294" s="482" t="s">
        <v>179</v>
      </c>
      <c r="L294" s="510">
        <f>Standard_A7_Temp*Quantity_Tenant1_Standard_A7</f>
        <v>0</v>
      </c>
      <c r="M294" s="510">
        <f>Standard_A7_Temp*Quantity_Tenant2_Standard_A7</f>
        <v>0</v>
      </c>
      <c r="N294" s="510">
        <f>Standard_A7_Temp*Quantity_Tenant3_Standard_A7</f>
        <v>0</v>
      </c>
      <c r="O294" s="510">
        <f>Standard_A7_Temp*Quantity_Tenant4_Standard_A7</f>
        <v>0</v>
      </c>
      <c r="P294" s="510">
        <f>Standard_A7_Temp*Quantity_Tenant5_Standard_A7</f>
        <v>0</v>
      </c>
      <c r="Q294" s="510">
        <f>Standard_A7_Temp*Quantity_Tenant6_Standard_A7</f>
        <v>0</v>
      </c>
      <c r="S294" s="482" t="s">
        <v>179</v>
      </c>
      <c r="T294" s="481" t="s">
        <v>156</v>
      </c>
      <c r="U294" s="499"/>
    </row>
    <row r="295" spans="3:21" x14ac:dyDescent="0.25">
      <c r="C295" s="483" t="s">
        <v>183</v>
      </c>
      <c r="D295" s="374">
        <f>Standard_A1_v2_Disk*Quantity_Tenant1_Standard_A1_v2</f>
        <v>0</v>
      </c>
      <c r="E295" s="374">
        <f>Standard_A1_v2_Disk*Quantity_Tenant2_Standard_A1_v2</f>
        <v>0</v>
      </c>
      <c r="F295" s="374">
        <f>Standard_A1_v2_Disk*Quantity_Tenant3_Standard_A1_v2</f>
        <v>0</v>
      </c>
      <c r="G295" s="374">
        <f>Standard_A1_v2_Disk*Quantity_Tenant4_Standard_A1_v2</f>
        <v>0</v>
      </c>
      <c r="H295" s="374">
        <f>Standard_A1_v2_Disk*Quantity_Tenant5_Standard_A1_v2</f>
        <v>0</v>
      </c>
      <c r="I295" s="374">
        <f>Standard_A1_v2_Disk*Quantity_Tenant6_Standard_A1_v2</f>
        <v>0</v>
      </c>
      <c r="K295" s="483" t="s">
        <v>183</v>
      </c>
      <c r="L295" s="374">
        <f>Standard_A1_v2_Temp*Quantity_Tenant1_Standard_A1_v2</f>
        <v>0</v>
      </c>
      <c r="M295" s="374">
        <f>Standard_A1_v2_Temp*Quantity_Tenant2_Standard_A1_v2</f>
        <v>0</v>
      </c>
      <c r="N295" s="374">
        <f>Standard_A1_v2_Temp*Quantity_Tenant3_Standard_A1_v2</f>
        <v>0</v>
      </c>
      <c r="O295" s="374">
        <f>Standard_A1_v2_Temp*Quantity_Tenant4_Standard_A1_v2</f>
        <v>0</v>
      </c>
      <c r="P295" s="374">
        <f>Standard_A1_v2_Temp*Quantity_Tenant5_Standard_A1_v2</f>
        <v>0</v>
      </c>
      <c r="Q295" s="374">
        <f>Standard_A1_v2_Temp*Quantity_Tenant6_Standard_A1_v2</f>
        <v>0</v>
      </c>
      <c r="S295" s="483" t="s">
        <v>183</v>
      </c>
      <c r="T295" s="488" t="s">
        <v>156</v>
      </c>
      <c r="U295" s="499"/>
    </row>
    <row r="296" spans="3:21" x14ac:dyDescent="0.25">
      <c r="C296" s="483" t="s">
        <v>185</v>
      </c>
      <c r="D296" s="374">
        <f>Standard_A2_v2_Disk*Quantity_Tenant1_Standard_A2_v2</f>
        <v>0</v>
      </c>
      <c r="E296" s="374">
        <f>Standard_A1_v2_Disk*Quantity_Tenant2_Standard_A1_v2</f>
        <v>0</v>
      </c>
      <c r="F296" s="374">
        <f>Standard_A2_v2_Disk*Quantity_Tenant3_Standard_A2_v2</f>
        <v>0</v>
      </c>
      <c r="G296" s="374">
        <f>Standard_A2_v2_Disk*Quantity_Tenant4_Standard_A2_v2</f>
        <v>0</v>
      </c>
      <c r="H296" s="374">
        <f>Standard_A2_v2_Disk*Quantity_Tenant5_Standard_A2_v2</f>
        <v>0</v>
      </c>
      <c r="I296" s="374">
        <f>Standard_A2_v2_Disk*Quantity_Tenant6_Standard_A2_v2</f>
        <v>0</v>
      </c>
      <c r="K296" s="483" t="s">
        <v>185</v>
      </c>
      <c r="L296" s="374">
        <f>Standard_A2_v2_Temp*Quantity_Tenant1_Standard_A2_v2</f>
        <v>0</v>
      </c>
      <c r="M296" s="374">
        <f>Standard_A1_v2_Temp*Quantity_Tenant2_Standard_A1_v2</f>
        <v>0</v>
      </c>
      <c r="N296" s="374">
        <f>Standard_A2_v2_Temp*Quantity_Tenant3_Standard_A2_v2</f>
        <v>0</v>
      </c>
      <c r="O296" s="374">
        <f>Standard_A2_v2_Temp*Quantity_Tenant4_Standard_A2_v2</f>
        <v>0</v>
      </c>
      <c r="P296" s="374">
        <f>Standard_A2_v2_Temp*Quantity_Tenant5_Standard_A2_v2</f>
        <v>0</v>
      </c>
      <c r="Q296" s="374">
        <f>Standard_A2_v2_Temp*Quantity_Tenant6_Standard_A2_v2</f>
        <v>0</v>
      </c>
      <c r="S296" s="483" t="s">
        <v>185</v>
      </c>
      <c r="T296" s="488" t="s">
        <v>156</v>
      </c>
      <c r="U296" s="499"/>
    </row>
    <row r="297" spans="3:21" x14ac:dyDescent="0.25">
      <c r="C297" s="484" t="s">
        <v>187</v>
      </c>
      <c r="D297" s="218">
        <f>Standard_A4_v2_Disk*Quantity_Tenant1_Standard_A4_v2</f>
        <v>0</v>
      </c>
      <c r="E297" s="218">
        <f>Standard_A4_v2_Disk*Quantity_Tenant2_Standard_A4_v2</f>
        <v>0</v>
      </c>
      <c r="F297" s="218">
        <f>Standard_A4_v2_Disk*Quantity_Tenant3_Standard_A4_v2</f>
        <v>0</v>
      </c>
      <c r="G297" s="218">
        <f>Standard_A4_v2_Disk*Quantity_Tenant4_Standard_A4_v2</f>
        <v>0</v>
      </c>
      <c r="H297" s="218">
        <f>Standard_A4_v2_Disk*Quantity_Tenant5_Standard_A4_v2</f>
        <v>0</v>
      </c>
      <c r="I297" s="218">
        <f>Standard_A4_v2_Disk*Quantity_Tenant6_Standard_A4_v2</f>
        <v>0</v>
      </c>
      <c r="K297" s="484" t="s">
        <v>187</v>
      </c>
      <c r="L297" s="218">
        <f>Standard_A4_v2_Temp*Quantity_Tenant1_Standard_A4_v2</f>
        <v>0</v>
      </c>
      <c r="M297" s="218">
        <f>Standard_A4_v2_Temp*Quantity_Tenant2_Standard_A4_v2</f>
        <v>0</v>
      </c>
      <c r="N297" s="218">
        <f>Standard_A4_v2_Temp*Quantity_Tenant3_Standard_A4_v2</f>
        <v>0</v>
      </c>
      <c r="O297" s="218">
        <f>Standard_A4_v2_Temp*Quantity_Tenant4_Standard_A4_v2</f>
        <v>0</v>
      </c>
      <c r="P297" s="218">
        <f>Standard_A4_v2_Temp*Quantity_Tenant5_Standard_A4_v2</f>
        <v>0</v>
      </c>
      <c r="Q297" s="218">
        <f>Standard_A4_v2_Temp*Quantity_Tenant6_Standard_A4_v2</f>
        <v>0</v>
      </c>
      <c r="S297" s="484" t="s">
        <v>187</v>
      </c>
      <c r="T297" s="488" t="s">
        <v>156</v>
      </c>
      <c r="U297" s="499"/>
    </row>
    <row r="298" spans="3:21" x14ac:dyDescent="0.25">
      <c r="C298" s="483" t="s">
        <v>189</v>
      </c>
      <c r="D298" s="374">
        <f>Standard_A8_v2_Disk*Quantity_Tenant1_Standard_A8_v2</f>
        <v>0</v>
      </c>
      <c r="E298" s="374">
        <f>Standard_A8_v2_Disk*Quantity_Tenant2_Standard_A8_v2</f>
        <v>0</v>
      </c>
      <c r="F298" s="374">
        <f>Standard_A8_v2_Disk*Quantity_Tenant3_Standard_A8_v2</f>
        <v>0</v>
      </c>
      <c r="G298" s="374">
        <f>Standard_A8_v2_Disk*Quantity_Tenant4_Standard_A8_v2</f>
        <v>0</v>
      </c>
      <c r="H298" s="374">
        <f>Standard_A8_v2_Disk*Quantity_Tenant5_Standard_A8_v2</f>
        <v>0</v>
      </c>
      <c r="I298" s="374">
        <f>Standard_A8_v2_Disk*Quantity_Tenant6_Standard_A8_v2</f>
        <v>0</v>
      </c>
      <c r="K298" s="483" t="s">
        <v>189</v>
      </c>
      <c r="L298" s="374">
        <f>Standard_A8_v2_Temp*Quantity_Tenant1_Standard_A8_v2</f>
        <v>0</v>
      </c>
      <c r="M298" s="374">
        <f>Standard_A8_v2_Temp*Quantity_Tenant2_Standard_A8_v2</f>
        <v>0</v>
      </c>
      <c r="N298" s="374">
        <f>Standard_A8_v2_Temp*Quantity_Tenant3_Standard_A8_v2</f>
        <v>0</v>
      </c>
      <c r="O298" s="374">
        <f>Standard_A8_v2_Temp*Quantity_Tenant4_Standard_A8_v2</f>
        <v>0</v>
      </c>
      <c r="P298" s="374">
        <f>Standard_A8_v2_Temp*Quantity_Tenant5_Standard_A8_v2</f>
        <v>0</v>
      </c>
      <c r="Q298" s="374">
        <f>Standard_A8_v2_Temp*Quantity_Tenant6_Standard_A8_v2</f>
        <v>0</v>
      </c>
      <c r="S298" s="483" t="s">
        <v>189</v>
      </c>
      <c r="T298" s="488" t="s">
        <v>156</v>
      </c>
      <c r="U298" s="499"/>
    </row>
    <row r="299" spans="3:21" x14ac:dyDescent="0.25">
      <c r="C299" s="483" t="s">
        <v>191</v>
      </c>
      <c r="D299" s="374">
        <f>Standard_A2m_v2_Disk*Quantity_Tenant1_Standard_A2m_v2</f>
        <v>0</v>
      </c>
      <c r="E299" s="374">
        <f>Standard_A2m_v2_Disk*Quantity_Tenant2_Standard_A2m_v2</f>
        <v>0</v>
      </c>
      <c r="F299" s="374">
        <f>Standard_A2m_v2_Disk*Quantity_Tenant3_Standard_A2m_v2</f>
        <v>0</v>
      </c>
      <c r="G299" s="374">
        <f>Standard_A2m_v2_Disk*Quantity_Tenant4_Standard_A2m_v2</f>
        <v>0</v>
      </c>
      <c r="H299" s="374">
        <f>Standard_A2m_v2_Disk*Quantity_Tenant5_Standard_A2m_v2</f>
        <v>0</v>
      </c>
      <c r="I299" s="374">
        <f>Standard_A2m_v2_Disk*Quantity_Tenant6_Standard_A2m_v2</f>
        <v>0</v>
      </c>
      <c r="K299" s="483" t="s">
        <v>191</v>
      </c>
      <c r="L299" s="374">
        <f>Standard_A2m_v2_Temp*Quantity_Tenant1_Standard_A2m_v2</f>
        <v>0</v>
      </c>
      <c r="M299" s="374">
        <f>Standard_A2m_v2_Temp*Quantity_Tenant2_Standard_A2m_v2</f>
        <v>0</v>
      </c>
      <c r="N299" s="374">
        <f>Standard_A2m_v2_Temp*Quantity_Tenant3_Standard_A2m_v2</f>
        <v>0</v>
      </c>
      <c r="O299" s="374">
        <f>Standard_A2m_v2_Temp*Quantity_Tenant4_Standard_A2m_v2</f>
        <v>0</v>
      </c>
      <c r="P299" s="374">
        <f>Standard_A2m_v2_Temp*Quantity_Tenant5_Standard_A2m_v2</f>
        <v>0</v>
      </c>
      <c r="Q299" s="374">
        <f>Standard_A2m_v2_Temp*Quantity_Tenant6_Standard_A2m_v2</f>
        <v>0</v>
      </c>
      <c r="S299" s="483" t="s">
        <v>191</v>
      </c>
      <c r="T299" s="488" t="s">
        <v>156</v>
      </c>
      <c r="U299" s="499"/>
    </row>
    <row r="300" spans="3:21" x14ac:dyDescent="0.25">
      <c r="C300" s="483" t="s">
        <v>193</v>
      </c>
      <c r="D300" s="374">
        <f>Standard_A4m_v2_Disk*Quantity_Tenant1_Standard_A4m_v2</f>
        <v>0</v>
      </c>
      <c r="E300" s="374">
        <f>Standard_A4m_v2_Disk*Quantity_Tenant2_Standard_A4m_v2</f>
        <v>0</v>
      </c>
      <c r="F300" s="374">
        <f>Standard_A4m_v2_Disk*Quantity_Tenant3_Standard_A4m_v2</f>
        <v>0</v>
      </c>
      <c r="G300" s="374">
        <f>Standard_A4m_v2_Disk*Quantity_Tenant4_Standard_A4m_v2</f>
        <v>0</v>
      </c>
      <c r="H300" s="374">
        <f>Standard_A4m_v2_Disk*Quantity_Tenant5_Standard_A4m_v2</f>
        <v>0</v>
      </c>
      <c r="I300" s="374">
        <f>Standard_A4m_v2_Disk*Quantity_Tenant6_Standard_A4m_v2</f>
        <v>0</v>
      </c>
      <c r="K300" s="483" t="s">
        <v>193</v>
      </c>
      <c r="L300" s="374">
        <f>Standard_A4m_v2_Temp*Quantity_Tenant1_Standard_A4m_v2</f>
        <v>0</v>
      </c>
      <c r="M300" s="374">
        <f>Standard_A4m_v2_Temp*Quantity_Tenant2_Standard_A4m_v2</f>
        <v>0</v>
      </c>
      <c r="N300" s="374">
        <f>Standard_A4m_v2_Temp*Quantity_Tenant3_Standard_A4m_v2</f>
        <v>0</v>
      </c>
      <c r="O300" s="374">
        <f>Standard_A4m_v2_Temp*Quantity_Tenant4_Standard_A4m_v2</f>
        <v>0</v>
      </c>
      <c r="P300" s="374">
        <f>Standard_A4m_v2_Temp*Quantity_Tenant5_Standard_A4m_v2</f>
        <v>0</v>
      </c>
      <c r="Q300" s="374">
        <f>Standard_A4m_v2_Temp*Quantity_Tenant6_Standard_A4m_v2</f>
        <v>0</v>
      </c>
      <c r="S300" s="483" t="s">
        <v>193</v>
      </c>
      <c r="T300" s="488" t="s">
        <v>156</v>
      </c>
      <c r="U300" s="499"/>
    </row>
    <row r="301" spans="3:21" x14ac:dyDescent="0.25">
      <c r="C301" s="483" t="s">
        <v>195</v>
      </c>
      <c r="D301" s="374">
        <f>Standard_A8m_v2_Disk*Quantity_Tenant1_Standard_A8m_v2</f>
        <v>0</v>
      </c>
      <c r="E301" s="374">
        <f>Standard_A8m_v2_Disk*Quantity_Tenant2_Standard_A8m_v2</f>
        <v>0</v>
      </c>
      <c r="F301" s="374">
        <f>Standard_A8m_v2_Disk*Quantity_Tenant3_Standard_A8m_v2</f>
        <v>0</v>
      </c>
      <c r="G301" s="374">
        <f>Standard_A8m_v2_Disk*Quantity_Tenant4_Standard_A8m_v2</f>
        <v>0</v>
      </c>
      <c r="H301" s="374">
        <f>Standard_A8m_v2_Disk*Quantity_Tenant5_Standard_A8m_v2</f>
        <v>0</v>
      </c>
      <c r="I301" s="374">
        <f>Standard_A8m_v2_Disk*Quantity_Tenant6_Standard_A8m_v2</f>
        <v>0</v>
      </c>
      <c r="K301" s="483" t="s">
        <v>195</v>
      </c>
      <c r="L301" s="374">
        <f>Standard_A8m_v2_Temp*Quantity_Tenant1_Standard_A8m_v2</f>
        <v>0</v>
      </c>
      <c r="M301" s="374">
        <f>Standard_A8m_v2_Temp*Quantity_Tenant2_Standard_A8m_v2</f>
        <v>0</v>
      </c>
      <c r="N301" s="374">
        <f>Standard_A8m_v2_Temp*Quantity_Tenant3_Standard_A8m_v2</f>
        <v>0</v>
      </c>
      <c r="O301" s="374">
        <f>Standard_A8m_v2_Temp*Quantity_Tenant4_Standard_A8m_v2</f>
        <v>0</v>
      </c>
      <c r="P301" s="374">
        <f>Standard_A8m_v2_Temp*Quantity_Tenant5_Standard_A8m_v2</f>
        <v>0</v>
      </c>
      <c r="Q301" s="374">
        <f>Standard_A8m_v2_Temp*Quantity_Tenant6_Standard_A8m_v2</f>
        <v>0</v>
      </c>
      <c r="S301" s="483" t="s">
        <v>195</v>
      </c>
      <c r="T301" s="488" t="s">
        <v>156</v>
      </c>
      <c r="U301" s="499"/>
    </row>
    <row r="302" spans="3:21" x14ac:dyDescent="0.25">
      <c r="C302" s="478" t="s">
        <v>199</v>
      </c>
      <c r="D302" s="372">
        <f>Standard_D1_Disk*Quantity_Tenant1_Standard_D1</f>
        <v>0</v>
      </c>
      <c r="E302" s="372">
        <f>Standard_D1_Disk*Quantity_Tenant2_Standard_D1</f>
        <v>0</v>
      </c>
      <c r="F302" s="372">
        <f>Standard_D1_Disk*Quantity_Tenant3_Standard_D1</f>
        <v>0</v>
      </c>
      <c r="G302" s="372">
        <f>Standard_D1_Disk*Quantity_Tenant4_Standard_D1</f>
        <v>0</v>
      </c>
      <c r="H302" s="372">
        <f>Standard_D1_Disk*Quantity_Tenant5_Standard_D1</f>
        <v>0</v>
      </c>
      <c r="I302" s="372">
        <f>Standard_D1_Disk*Quantity_Tenant6_Standard_D1</f>
        <v>0</v>
      </c>
      <c r="K302" s="478" t="s">
        <v>199</v>
      </c>
      <c r="L302" s="372">
        <f>Standard_D1_Temp*Quantity_Tenant1_Standard_D1</f>
        <v>0</v>
      </c>
      <c r="M302" s="372">
        <f>Standard_D1_Temp*Quantity_Tenant2_Standard_D1</f>
        <v>0</v>
      </c>
      <c r="N302" s="372">
        <f>Standard_D1_Temp*Quantity_Tenant3_Standard_D1</f>
        <v>0</v>
      </c>
      <c r="O302" s="372">
        <f>Standard_D1_Temp*Quantity_Tenant4_Standard_D1</f>
        <v>0</v>
      </c>
      <c r="P302" s="372">
        <f>Standard_D1_Temp*Quantity_Tenant5_Standard_D1</f>
        <v>0</v>
      </c>
      <c r="Q302" s="372">
        <f>Standard_D1_Temp*Quantity_Tenant6_Standard_D1</f>
        <v>0</v>
      </c>
      <c r="S302" s="478" t="s">
        <v>199</v>
      </c>
      <c r="T302" s="477" t="s">
        <v>156</v>
      </c>
      <c r="U302" s="499"/>
    </row>
    <row r="303" spans="3:21" x14ac:dyDescent="0.25">
      <c r="C303" s="478" t="s">
        <v>201</v>
      </c>
      <c r="D303" s="372">
        <f>Standard_D2_Disk*Quantity_Tenant1_Standard_D2</f>
        <v>0</v>
      </c>
      <c r="E303" s="372">
        <f>Standard_D2_Disk*Quantity_Tenant2_Standard_D2</f>
        <v>0</v>
      </c>
      <c r="F303" s="372">
        <f>Standard_D2_Disk*Quantity_Tenant3_Standard_D2</f>
        <v>0</v>
      </c>
      <c r="G303" s="372">
        <f>Standard_D2_Disk*Quantity_Tenant4_Standard_D2</f>
        <v>0</v>
      </c>
      <c r="H303" s="372">
        <f>Standard_D2_Disk*Quantity_Tenant5_Standard_D2</f>
        <v>0</v>
      </c>
      <c r="I303" s="372">
        <f>Standard_D2_Disk*Quantity_Tenant6_Standard_D2</f>
        <v>0</v>
      </c>
      <c r="K303" s="478" t="s">
        <v>201</v>
      </c>
      <c r="L303" s="372">
        <f>Standard_D2_Temp*Quantity_Tenant1_Standard_D2</f>
        <v>0</v>
      </c>
      <c r="M303" s="372">
        <f>Standard_D2_Temp*Quantity_Tenant2_Standard_D2</f>
        <v>0</v>
      </c>
      <c r="N303" s="372">
        <f>Standard_D2_Temp*Quantity_Tenant3_Standard_D2</f>
        <v>0</v>
      </c>
      <c r="O303" s="372">
        <f>Standard_D2_Temp*Quantity_Tenant4_Standard_D2</f>
        <v>0</v>
      </c>
      <c r="P303" s="372">
        <f>Standard_D2_Temp*Quantity_Tenant5_Standard_D2</f>
        <v>0</v>
      </c>
      <c r="Q303" s="372">
        <f>Standard_D2_Temp*Quantity_Tenant6_Standard_D2</f>
        <v>0</v>
      </c>
      <c r="S303" s="478" t="s">
        <v>201</v>
      </c>
      <c r="T303" s="477" t="s">
        <v>156</v>
      </c>
      <c r="U303" s="499"/>
    </row>
    <row r="304" spans="3:21" x14ac:dyDescent="0.25">
      <c r="C304" s="478" t="s">
        <v>202</v>
      </c>
      <c r="D304" s="372">
        <f>Standard_D3_Disk*Quantity_Tenant1_Standard_D3</f>
        <v>0</v>
      </c>
      <c r="E304" s="372">
        <f>Standard_D3_Disk*Quantity_Tenant2_Standard_D3</f>
        <v>0</v>
      </c>
      <c r="F304" s="372">
        <f>Standard_D3_Disk*Quantity_Tenant3_Standard_D3</f>
        <v>0</v>
      </c>
      <c r="G304" s="372">
        <f>Standard_D3_Disk*Quantity_Tenant4_Standard_D3</f>
        <v>0</v>
      </c>
      <c r="H304" s="372">
        <f>Standard_D3_Disk*Quantity_Tenant5_Standard_D3</f>
        <v>0</v>
      </c>
      <c r="I304" s="372">
        <f>Standard_D3_Disk*Quantity_Tenant6_Standard_D3</f>
        <v>0</v>
      </c>
      <c r="K304" s="478" t="s">
        <v>202</v>
      </c>
      <c r="L304" s="372">
        <f>Standard_D3_Temp*Quantity_Tenant1_Standard_D3</f>
        <v>0</v>
      </c>
      <c r="M304" s="372">
        <f>Standard_D3_Temp*Quantity_Tenant2_Standard_D3</f>
        <v>0</v>
      </c>
      <c r="N304" s="372">
        <f>Standard_D3_Temp*Quantity_Tenant3_Standard_D3</f>
        <v>0</v>
      </c>
      <c r="O304" s="372">
        <f>Standard_D3_Temp*Quantity_Tenant4_Standard_D3</f>
        <v>0</v>
      </c>
      <c r="P304" s="372">
        <f>Standard_D3_Temp*Quantity_Tenant5_Standard_D3</f>
        <v>0</v>
      </c>
      <c r="Q304" s="372">
        <f>Standard_D3_Temp*Quantity_Tenant6_Standard_D3</f>
        <v>0</v>
      </c>
      <c r="S304" s="478" t="s">
        <v>202</v>
      </c>
      <c r="T304" s="477" t="s">
        <v>156</v>
      </c>
      <c r="U304" s="499"/>
    </row>
    <row r="305" spans="3:21" x14ac:dyDescent="0.25">
      <c r="C305" s="486" t="s">
        <v>204</v>
      </c>
      <c r="D305" s="219">
        <f>Standard_D4_Disk*Quantity_Tenant1_Standard_D4</f>
        <v>0</v>
      </c>
      <c r="E305" s="219">
        <f>Standard_D4_Disk*Quantity_Tenant2_Standard_D4</f>
        <v>0</v>
      </c>
      <c r="F305" s="219">
        <f>Standard_D4_Disk*Quantity_Tenant3_Standard_D4</f>
        <v>0</v>
      </c>
      <c r="G305" s="219">
        <f>Standard_D4_Disk*Quantity_Tenant4_Standard_D4</f>
        <v>0</v>
      </c>
      <c r="H305" s="219">
        <f>Standard_D4_Disk*Quantity_Tenant5_Standard_D4</f>
        <v>0</v>
      </c>
      <c r="I305" s="219">
        <f>Standard_D4_Disk*Quantity_Tenant6_Standard_D4</f>
        <v>0</v>
      </c>
      <c r="K305" s="486" t="s">
        <v>204</v>
      </c>
      <c r="L305" s="219">
        <f>Standard_D4_Temp*Quantity_Tenant1_Standard_D4</f>
        <v>0</v>
      </c>
      <c r="M305" s="219">
        <f>Standard_D4_Temp*Quantity_Tenant2_Standard_D4</f>
        <v>0</v>
      </c>
      <c r="N305" s="219">
        <f>Standard_D4_Temp*Quantity_Tenant3_Standard_D4</f>
        <v>0</v>
      </c>
      <c r="O305" s="219">
        <f>Standard_D4_Temp*Quantity_Tenant4_Standard_D4</f>
        <v>0</v>
      </c>
      <c r="P305" s="219">
        <f>Standard_D4_Temp*Quantity_Tenant5_Standard_D4</f>
        <v>0</v>
      </c>
      <c r="Q305" s="219">
        <f>Standard_D4_Temp*Quantity_Tenant6_Standard_D4</f>
        <v>0</v>
      </c>
      <c r="S305" s="486" t="s">
        <v>204</v>
      </c>
      <c r="T305" s="477" t="s">
        <v>156</v>
      </c>
      <c r="U305" s="499"/>
    </row>
    <row r="306" spans="3:21" x14ac:dyDescent="0.25">
      <c r="C306" s="479" t="s">
        <v>208</v>
      </c>
      <c r="D306" s="373">
        <f>Standard_DS1_Disk*Quantity_Tenant1_Standard_DS1</f>
        <v>0</v>
      </c>
      <c r="E306" s="373">
        <f>Standard_DS1_Disk*Quantity_Tenant2_Standard_DS1</f>
        <v>0</v>
      </c>
      <c r="F306" s="373">
        <f>Standard_DS1_Disk*Quantity_Tenant3_Standard_DS1</f>
        <v>0</v>
      </c>
      <c r="G306" s="373">
        <f>Standard_DS1_Disk*Quantity_Tenant4_Standard_DS1</f>
        <v>0</v>
      </c>
      <c r="H306" s="373">
        <f>Standard_DS1_Disk*Quantity_Tenant5_Standard_DS1</f>
        <v>0</v>
      </c>
      <c r="I306" s="373">
        <f>Standard_DS1_Disk*Quantity_Tenant6_Standard_DS1</f>
        <v>0</v>
      </c>
      <c r="K306" s="479" t="s">
        <v>208</v>
      </c>
      <c r="L306" s="373">
        <f>Standard_DS1_Temp*Quantity_Tenant1_Standard_DS1</f>
        <v>0</v>
      </c>
      <c r="M306" s="373">
        <f>Standard_DS1_Temp*Quantity_Tenant2_Standard_DS1</f>
        <v>0</v>
      </c>
      <c r="N306" s="373">
        <f>Standard_DS1_Temp*Quantity_Tenant3_Standard_DS1</f>
        <v>0</v>
      </c>
      <c r="O306" s="373">
        <f>Standard_DS1_Temp*Quantity_Tenant4_Standard_DS1</f>
        <v>0</v>
      </c>
      <c r="P306" s="373">
        <f>Standard_DS1_Temp*Quantity_Tenant5_Standard_DS1</f>
        <v>0</v>
      </c>
      <c r="Q306" s="373">
        <f>Standard_DS1_Temp*Quantity_Tenant6_Standard_DS1</f>
        <v>0</v>
      </c>
      <c r="S306" s="479" t="s">
        <v>208</v>
      </c>
      <c r="T306" s="481" t="s">
        <v>156</v>
      </c>
      <c r="U306" s="499"/>
    </row>
    <row r="307" spans="3:21" x14ac:dyDescent="0.25">
      <c r="C307" s="479" t="s">
        <v>209</v>
      </c>
      <c r="D307" s="373">
        <f>Standard_DS2_Disk*Quantity_Tenant1_Standard_DS2</f>
        <v>0</v>
      </c>
      <c r="E307" s="373">
        <f>Standard_DS2_Disk*Quantity_Tenant2_Standard_DS2</f>
        <v>0</v>
      </c>
      <c r="F307" s="373">
        <f>Standard_DS2_Disk*Quantity_Tenant3_Standard_DS2</f>
        <v>0</v>
      </c>
      <c r="G307" s="373">
        <f>Standard_DS2_Disk*Quantity_Tenant4_Standard_DS2</f>
        <v>0</v>
      </c>
      <c r="H307" s="373">
        <f>Standard_DS2_Disk*Quantity_Tenant5_Standard_DS2</f>
        <v>0</v>
      </c>
      <c r="I307" s="373">
        <f>Standard_DS2_Disk*Quantity_Tenant6_Standard_DS2</f>
        <v>0</v>
      </c>
      <c r="K307" s="479" t="s">
        <v>209</v>
      </c>
      <c r="L307" s="373">
        <f>Standard_DS2_Temp*Quantity_Tenant1_Standard_DS2</f>
        <v>0</v>
      </c>
      <c r="M307" s="373">
        <f>Standard_DS2_Temp*Quantity_Tenant2_Standard_DS2</f>
        <v>0</v>
      </c>
      <c r="N307" s="373">
        <f>Standard_DS2_Temp*Quantity_Tenant3_Standard_DS2</f>
        <v>0</v>
      </c>
      <c r="O307" s="373">
        <f>Standard_DS2_Temp*Quantity_Tenant4_Standard_DS2</f>
        <v>0</v>
      </c>
      <c r="P307" s="373">
        <f>Standard_DS2_Temp*Quantity_Tenant5_Standard_DS2</f>
        <v>0</v>
      </c>
      <c r="Q307" s="373">
        <f>Standard_DS2_Temp*Quantity_Tenant6_Standard_DS2</f>
        <v>0</v>
      </c>
      <c r="S307" s="479" t="s">
        <v>209</v>
      </c>
      <c r="T307" s="481" t="s">
        <v>156</v>
      </c>
      <c r="U307" s="499"/>
    </row>
    <row r="308" spans="3:21" x14ac:dyDescent="0.25">
      <c r="C308" s="479" t="s">
        <v>210</v>
      </c>
      <c r="D308" s="373">
        <f>Standard_DS3_Disk*Quantity_Tenant1_Standard_DS3</f>
        <v>0</v>
      </c>
      <c r="E308" s="373">
        <f>Standard_DS3_Disk*Quantity_Tenant2_Standard_DS3</f>
        <v>0</v>
      </c>
      <c r="F308" s="373">
        <f>Standard_DS3_Disk*Quantity_Tenant3_Standard_DS3</f>
        <v>0</v>
      </c>
      <c r="G308" s="373">
        <f>Standard_DS3_Disk*Quantity_Tenant4_Standard_DS3</f>
        <v>0</v>
      </c>
      <c r="H308" s="373">
        <f>Standard_DS3_Disk*Quantity_Tenant5_Standard_DS3</f>
        <v>0</v>
      </c>
      <c r="I308" s="373">
        <f>Standard_DS3_Disk*Quantity_Tenant6_Standard_DS3</f>
        <v>0</v>
      </c>
      <c r="K308" s="479" t="s">
        <v>210</v>
      </c>
      <c r="L308" s="373">
        <f>Standard_DS3_Temp*Quantity_Tenant1_Standard_DS3</f>
        <v>0</v>
      </c>
      <c r="M308" s="373">
        <f>Standard_DS3_Temp*Quantity_Tenant2_Standard_DS3</f>
        <v>0</v>
      </c>
      <c r="N308" s="373">
        <f>Standard_DS3_Temp*Quantity_Tenant3_Standard_DS3</f>
        <v>0</v>
      </c>
      <c r="O308" s="373">
        <f>Standard_DS3_Temp*Quantity_Tenant4_Standard_DS3</f>
        <v>0</v>
      </c>
      <c r="P308" s="373">
        <f>Standard_DS3_Temp*Quantity_Tenant5_Standard_DS3</f>
        <v>0</v>
      </c>
      <c r="Q308" s="373">
        <f>Standard_DS3_Temp*Quantity_Tenant6_Standard_DS3</f>
        <v>0</v>
      </c>
      <c r="S308" s="479" t="s">
        <v>210</v>
      </c>
      <c r="T308" s="481" t="s">
        <v>156</v>
      </c>
      <c r="U308" s="499"/>
    </row>
    <row r="309" spans="3:21" x14ac:dyDescent="0.25">
      <c r="C309" s="479" t="s">
        <v>211</v>
      </c>
      <c r="D309" s="373">
        <f>Standard_DS4_Disk*Quantity_Tenant1_Standard_DS4</f>
        <v>0</v>
      </c>
      <c r="E309" s="373">
        <f>Standard_DS4_Disk*Quantity_Tenant2_Standard_DS4</f>
        <v>0</v>
      </c>
      <c r="F309" s="373">
        <f>Standard_DS4_Disk*Quantity_Tenant3_Standard_DS4</f>
        <v>0</v>
      </c>
      <c r="G309" s="373">
        <f>Standard_DS4_Disk*Quantity_Tenant4_Standard_DS4</f>
        <v>0</v>
      </c>
      <c r="H309" s="373">
        <f>Standard_DS4_Disk*Quantity_Tenant5_Standard_DS4</f>
        <v>0</v>
      </c>
      <c r="I309" s="373">
        <f>Standard_DS4_Disk*Quantity_Tenant6_Standard_DS4</f>
        <v>0</v>
      </c>
      <c r="K309" s="479" t="s">
        <v>211</v>
      </c>
      <c r="L309" s="373">
        <f>Standard_DS4_Temp*Quantity_Tenant1_Standard_DS4</f>
        <v>0</v>
      </c>
      <c r="M309" s="373">
        <f>Standard_DS4_Temp*Quantity_Tenant2_Standard_DS4</f>
        <v>0</v>
      </c>
      <c r="N309" s="373">
        <f>Standard_DS4_Temp*Quantity_Tenant3_Standard_DS4</f>
        <v>0</v>
      </c>
      <c r="O309" s="373">
        <f>Standard_DS4_Temp*Quantity_Tenant4_Standard_DS4</f>
        <v>0</v>
      </c>
      <c r="P309" s="373">
        <f>Standard_DS4_Temp*Quantity_Tenant5_Standard_DS4</f>
        <v>0</v>
      </c>
      <c r="Q309" s="373">
        <f>Standard_DS4_Temp*Quantity_Tenant6_Standard_DS4</f>
        <v>0</v>
      </c>
      <c r="S309" s="479" t="s">
        <v>211</v>
      </c>
      <c r="T309" s="481" t="s">
        <v>156</v>
      </c>
      <c r="U309" s="499"/>
    </row>
    <row r="310" spans="3:21" x14ac:dyDescent="0.25">
      <c r="C310" s="487" t="s">
        <v>213</v>
      </c>
      <c r="D310" s="220">
        <f>Standard_D1_v2_Disk*Quantity_Tenant1_Standard_D1_v2</f>
        <v>0</v>
      </c>
      <c r="E310" s="220">
        <f>Standard_D1_v2_Disk*Quantity_Tenant2_Standard_D1_v2</f>
        <v>0</v>
      </c>
      <c r="F310" s="220">
        <f>Standard_D1_v2_Disk*Quantity_Tenant3_Standard_D1_v2</f>
        <v>0</v>
      </c>
      <c r="G310" s="220">
        <f>Standard_D1_v2_Disk*Quantity_Tenant4_Standard_D1_v2</f>
        <v>0</v>
      </c>
      <c r="H310" s="220">
        <f>Standard_D1_v2_Disk*Quantity_Tenant5_Standard_D1_v2</f>
        <v>0</v>
      </c>
      <c r="I310" s="220">
        <f>Standard_D1_v2_Disk*Quantity_Tenant6_Standard_D1_v2</f>
        <v>0</v>
      </c>
      <c r="K310" s="487" t="s">
        <v>213</v>
      </c>
      <c r="L310" s="220">
        <f>Standard_D1_v2_Temp*Quantity_Tenant1_Standard_D1_v2</f>
        <v>0</v>
      </c>
      <c r="M310" s="220">
        <f>Standard_D1_v2_Temp*Quantity_Tenant2_Standard_D1_v2</f>
        <v>0</v>
      </c>
      <c r="N310" s="220">
        <f>Standard_D1_v2_Temp*Quantity_Tenant3_Standard_D1_v2</f>
        <v>0</v>
      </c>
      <c r="O310" s="220">
        <f>Standard_D1_v2_Temp*Quantity_Tenant4_Standard_D1_v2</f>
        <v>0</v>
      </c>
      <c r="P310" s="220">
        <f>Standard_D1_v2_Temp*Quantity_Tenant5_Standard_D1_v2</f>
        <v>0</v>
      </c>
      <c r="Q310" s="220">
        <f>Standard_D1_v2_Temp*Quantity_Tenant6_Standard_D1_v2</f>
        <v>0</v>
      </c>
      <c r="S310" s="487" t="s">
        <v>213</v>
      </c>
      <c r="T310" s="488" t="s">
        <v>156</v>
      </c>
      <c r="U310" s="499"/>
    </row>
    <row r="311" spans="3:21" x14ac:dyDescent="0.25">
      <c r="C311" s="483" t="s">
        <v>214</v>
      </c>
      <c r="D311" s="374">
        <f>Standard_D2_v2_Disk*Quantity_Tenant1_Standard_D2_v2</f>
        <v>0</v>
      </c>
      <c r="E311" s="374">
        <f>Standard_D2_v2_Disk*Quantity_Tenant2_Standard_D2_v2</f>
        <v>0</v>
      </c>
      <c r="F311" s="374">
        <f>Standard_D2_v2_Disk*Quantity_Tenant3_Standard_D2_v2</f>
        <v>0</v>
      </c>
      <c r="G311" s="374">
        <f>Standard_D2_v2_Disk*Quantity_Tenant4_Standard_D2_v2</f>
        <v>0</v>
      </c>
      <c r="H311" s="374">
        <f>Standard_D2_v2_Disk*Quantity_Tenant5_Standard_D2_v2</f>
        <v>0</v>
      </c>
      <c r="I311" s="374">
        <f>Standard_D2_v2_Disk*Quantity_Tenant6_Standard_D2_v2</f>
        <v>0</v>
      </c>
      <c r="K311" s="483" t="s">
        <v>214</v>
      </c>
      <c r="L311" s="374">
        <f>Standard_D2_v2_Temp*Quantity_Tenant1_Standard_D2_v2</f>
        <v>0</v>
      </c>
      <c r="M311" s="374">
        <f>Standard_D2_v2_Temp*Quantity_Tenant2_Standard_D2_v2</f>
        <v>0</v>
      </c>
      <c r="N311" s="374">
        <f>Standard_D2_v2_Temp*Quantity_Tenant3_Standard_D2_v2</f>
        <v>0</v>
      </c>
      <c r="O311" s="374">
        <f>Standard_D2_v2_Temp*Quantity_Tenant4_Standard_D2_v2</f>
        <v>0</v>
      </c>
      <c r="P311" s="374">
        <f>Standard_D2_v2_Temp*Quantity_Tenant5_Standard_D2_v2</f>
        <v>0</v>
      </c>
      <c r="Q311" s="374">
        <f>Standard_D2_v2_Temp*Quantity_Tenant6_Standard_D2_v2</f>
        <v>0</v>
      </c>
      <c r="S311" s="483" t="s">
        <v>214</v>
      </c>
      <c r="T311" s="488" t="s">
        <v>156</v>
      </c>
      <c r="U311" s="499"/>
    </row>
    <row r="312" spans="3:21" x14ac:dyDescent="0.25">
      <c r="C312" s="483" t="s">
        <v>215</v>
      </c>
      <c r="D312" s="374">
        <f>Standard_D3_v2_Disk*Quantity_Tenant1_Standard_D3_v2</f>
        <v>0</v>
      </c>
      <c r="E312" s="374">
        <f>Standard_D3_v2_Disk*Quantity_Tenant2_Standard_D3_v2</f>
        <v>0</v>
      </c>
      <c r="F312" s="374">
        <f>Standard_D3_v2_Disk*Quantity_Tenant3_Standard_D3_v2</f>
        <v>0</v>
      </c>
      <c r="G312" s="374">
        <f>Standard_D3_v2_Disk*Quantity_Tenant4_Standard_D3_v2</f>
        <v>0</v>
      </c>
      <c r="H312" s="374">
        <f>Standard_D3_v2_Disk*Quantity_Tenant5_Standard_D3_v2</f>
        <v>0</v>
      </c>
      <c r="I312" s="374">
        <f>Standard_D3_v2_Disk*Quantity_Tenant6_Standard_D3_v2</f>
        <v>0</v>
      </c>
      <c r="K312" s="483" t="s">
        <v>215</v>
      </c>
      <c r="L312" s="374">
        <f>Standard_D3_v2_Temp*Quantity_Tenant1_Standard_D3_v2</f>
        <v>0</v>
      </c>
      <c r="M312" s="374">
        <f>Standard_D3_v2_Temp*Quantity_Tenant2_Standard_D3_v2</f>
        <v>0</v>
      </c>
      <c r="N312" s="374">
        <f>Standard_D3_v2_Temp*Quantity_Tenant3_Standard_D3_v2</f>
        <v>0</v>
      </c>
      <c r="O312" s="374">
        <f>Standard_D3_v2_Temp*Quantity_Tenant4_Standard_D3_v2</f>
        <v>0</v>
      </c>
      <c r="P312" s="374">
        <f>Standard_D3_v2_Temp*Quantity_Tenant5_Standard_D3_v2</f>
        <v>0</v>
      </c>
      <c r="Q312" s="374">
        <f>Standard_D3_v2_Temp*Quantity_Tenant6_Standard_D3_v2</f>
        <v>0</v>
      </c>
      <c r="S312" s="483" t="s">
        <v>215</v>
      </c>
      <c r="T312" s="488" t="s">
        <v>156</v>
      </c>
      <c r="U312" s="499"/>
    </row>
    <row r="313" spans="3:21" x14ac:dyDescent="0.25">
      <c r="C313" s="483" t="s">
        <v>216</v>
      </c>
      <c r="D313" s="374">
        <f>Standard_D4_v2_Disk*Quantity_Tenant1_Standard_D4_v2</f>
        <v>0</v>
      </c>
      <c r="E313" s="374">
        <f>Standard_D4_v2_Disk*Quantity_Tenant2_Standard_D4_v2</f>
        <v>0</v>
      </c>
      <c r="F313" s="374">
        <f>Standard_D4_v2_Disk*Quantity_Tenant3_Standard_D4_v2</f>
        <v>0</v>
      </c>
      <c r="G313" s="374">
        <f>Standard_D4_v2_Disk*Quantity_Tenant4_Standard_D4_v2</f>
        <v>0</v>
      </c>
      <c r="H313" s="374">
        <f>Standard_D4_v2_Disk*Quantity_Tenant5_Standard_D4_v2</f>
        <v>0</v>
      </c>
      <c r="I313" s="374">
        <f>Standard_D4_v2_Disk*Quantity_Tenant6_Standard_D4_v2</f>
        <v>0</v>
      </c>
      <c r="K313" s="483" t="s">
        <v>216</v>
      </c>
      <c r="L313" s="374">
        <f>Standard_D4_v2_Temp*Quantity_Tenant1_Standard_D4_v2</f>
        <v>0</v>
      </c>
      <c r="M313" s="374">
        <f>Standard_D4_v2_Temp*Quantity_Tenant2_Standard_D4_v2</f>
        <v>0</v>
      </c>
      <c r="N313" s="374">
        <f>Standard_D4_v2_Temp*Quantity_Tenant3_Standard_D4_v2</f>
        <v>0</v>
      </c>
      <c r="O313" s="374">
        <f>Standard_D4_v2_Temp*Quantity_Tenant4_Standard_D4_v2</f>
        <v>0</v>
      </c>
      <c r="P313" s="374">
        <f>Standard_D4_v2_Temp*Quantity_Tenant5_Standard_D4_v2</f>
        <v>0</v>
      </c>
      <c r="Q313" s="374">
        <f>Standard_D4_v2_Temp*Quantity_Tenant6_Standard_D4_v2</f>
        <v>0</v>
      </c>
      <c r="S313" s="483" t="s">
        <v>216</v>
      </c>
      <c r="T313" s="488" t="s">
        <v>156</v>
      </c>
      <c r="U313" s="499"/>
    </row>
    <row r="314" spans="3:21" x14ac:dyDescent="0.25">
      <c r="C314" s="483" t="s">
        <v>217</v>
      </c>
      <c r="D314" s="374">
        <f>Standard_D5_v2_Disk*Quantity_Tenant1_Standard_D5_v2</f>
        <v>0</v>
      </c>
      <c r="E314" s="374">
        <f>Standard_D5_v2_Disk*Quantity_Tenant2_Standard_D5_v2</f>
        <v>0</v>
      </c>
      <c r="F314" s="374">
        <f>Standard_D5_v2_Disk*Quantity_Tenant3_Standard_D5_v2</f>
        <v>0</v>
      </c>
      <c r="G314" s="374">
        <f>Standard_D5_v2_Disk*Quantity_Tenant4_Standard_D5_v2</f>
        <v>0</v>
      </c>
      <c r="H314" s="374">
        <f>Standard_D5_v2_Disk*Quantity_Tenant5_Standard_D5_v2</f>
        <v>0</v>
      </c>
      <c r="I314" s="374">
        <f>Standard_D5_v2_Disk*Quantity_Tenant6_Standard_D5_v2</f>
        <v>0</v>
      </c>
      <c r="K314" s="483" t="s">
        <v>217</v>
      </c>
      <c r="L314" s="374">
        <f>Standard_D5_v2_Temp*Quantity_Tenant1_Standard_D5_v2</f>
        <v>0</v>
      </c>
      <c r="M314" s="374">
        <f>Standard_D5_v2_Temp*Quantity_Tenant2_Standard_D5_v2</f>
        <v>0</v>
      </c>
      <c r="N314" s="374">
        <f>Standard_D5_v2_Temp*Quantity_Tenant3_Standard_D5_v2</f>
        <v>0</v>
      </c>
      <c r="O314" s="374">
        <f>Standard_D5_v2_Temp*Quantity_Tenant4_Standard_D5_v2</f>
        <v>0</v>
      </c>
      <c r="P314" s="374">
        <f>Standard_D5_v2_Temp*Quantity_Tenant5_Standard_D5_v2</f>
        <v>0</v>
      </c>
      <c r="Q314" s="374">
        <f>Standard_D5_v2_Temp*Quantity_Tenant6_Standard_D5_v2</f>
        <v>0</v>
      </c>
      <c r="S314" s="483" t="s">
        <v>217</v>
      </c>
      <c r="T314" s="488" t="s">
        <v>156</v>
      </c>
      <c r="U314" s="499"/>
    </row>
    <row r="315" spans="3:21" x14ac:dyDescent="0.25">
      <c r="C315" s="489" t="s">
        <v>219</v>
      </c>
      <c r="D315" s="221">
        <f>Standard_DS1_v2_Disk*Quantity_Tenant1_Standard_DS1_v2</f>
        <v>2048</v>
      </c>
      <c r="E315" s="221">
        <f>Standard_DS1_v2_Disk*Quantity_Tenant2_Standard_DS1_v2</f>
        <v>4096</v>
      </c>
      <c r="F315" s="221">
        <f>Standard_DS1_v2_Disk*Quantity_Tenant3_Standard_DS1_v2</f>
        <v>4096</v>
      </c>
      <c r="G315" s="221">
        <f>Standard_DS1_v2_Disk*Quantity_Tenant4_Standard_DS1_v2</f>
        <v>4096</v>
      </c>
      <c r="H315" s="221">
        <f>Standard_DS1_v2_Disk*Quantity_Tenant5_Standard_DS1_v2</f>
        <v>0</v>
      </c>
      <c r="I315" s="221">
        <f>Standard_DS1_v2_Disk*Quantity_Tenant6_Standard_DS1_v2</f>
        <v>0</v>
      </c>
      <c r="K315" s="489" t="s">
        <v>219</v>
      </c>
      <c r="L315" s="221">
        <f>Standard_DS1_v2_Temp*Quantity_Tenant1_Standard_DS1_v2</f>
        <v>3</v>
      </c>
      <c r="M315" s="221">
        <f>Standard_DS1_v2_Temp*Quantity_Tenant2_Standard_DS1_v2</f>
        <v>6</v>
      </c>
      <c r="N315" s="221">
        <f>Standard_DS1_v2_Temp*Quantity_Tenant3_Standard_DS1_v2</f>
        <v>6</v>
      </c>
      <c r="O315" s="221">
        <f>Standard_DS1_v2_Temp*Quantity_Tenant4_Standard_DS1_v2</f>
        <v>6</v>
      </c>
      <c r="P315" s="221">
        <f>Standard_DS1_v2_Temp*Quantity_Tenant5_Standard_DS1_v2</f>
        <v>0</v>
      </c>
      <c r="Q315" s="221">
        <f>Standard_DS1_v2_Temp*Quantity_Tenant6_Standard_DS1_v2</f>
        <v>0</v>
      </c>
      <c r="S315" s="489" t="s">
        <v>219</v>
      </c>
      <c r="T315" s="490" t="s">
        <v>156</v>
      </c>
      <c r="U315" s="499"/>
    </row>
    <row r="316" spans="3:21" x14ac:dyDescent="0.25">
      <c r="C316" s="491" t="s">
        <v>220</v>
      </c>
      <c r="D316" s="511">
        <f>Standard_DS2_v2_Disk*Quantity_Tenant1_Standard_DS2_v2</f>
        <v>0</v>
      </c>
      <c r="E316" s="511">
        <f>Standard_DS2_v2_Disk*Quantity_Tenant2_Standard_DS2_v2</f>
        <v>8192</v>
      </c>
      <c r="F316" s="511">
        <f>Standard_DS2_v2_Disk*Quantity_Tenant3_Standard_DS2_v2</f>
        <v>8192</v>
      </c>
      <c r="G316" s="511">
        <f>Standard_DS2_v2_Disk*Quantity_Tenant4_Standard_DS2_v2</f>
        <v>8192</v>
      </c>
      <c r="H316" s="511">
        <f>Standard_DS2_v2_Disk*Quantity_Tenant5_Standard_DS2_v2</f>
        <v>0</v>
      </c>
      <c r="I316" s="511">
        <f>Standard_DS2_v2_Disk*Quantity_Tenant6_Standard_DS2_v2</f>
        <v>0</v>
      </c>
      <c r="K316" s="491" t="s">
        <v>220</v>
      </c>
      <c r="L316" s="511">
        <f>Standard_DS2_v2_Temp*Quantity_Tenant1_Standard_DS2_v2</f>
        <v>0</v>
      </c>
      <c r="M316" s="511">
        <f>Standard_DS2_v2_Temp*Quantity_Tenant2_Standard_DS2_v2</f>
        <v>32</v>
      </c>
      <c r="N316" s="511">
        <f>Standard_DS2_v2_Temp*Quantity_Tenant3_Standard_DS2_v2</f>
        <v>32</v>
      </c>
      <c r="O316" s="511">
        <f>Standard_DS2_v2_Temp*Quantity_Tenant4_Standard_DS2_v2</f>
        <v>32</v>
      </c>
      <c r="P316" s="511">
        <f>Standard_DS2_v2_Temp*Quantity_Tenant5_Standard_DS2_v2</f>
        <v>0</v>
      </c>
      <c r="Q316" s="511">
        <f>Standard_DS2_v2_Temp*Quantity_Tenant6_Standard_DS2_v2</f>
        <v>0</v>
      </c>
      <c r="S316" s="491" t="s">
        <v>220</v>
      </c>
      <c r="T316" s="490" t="s">
        <v>156</v>
      </c>
      <c r="U316" s="499"/>
    </row>
    <row r="317" spans="3:21" x14ac:dyDescent="0.25">
      <c r="C317" s="491" t="s">
        <v>221</v>
      </c>
      <c r="D317" s="511">
        <f>Standard_DS3_v2_Disk*Quantity_Tenant1_Standard_DS3_v2</f>
        <v>0</v>
      </c>
      <c r="E317" s="511">
        <f>Standard_DS3_v2_Disk*Quantity_Tenant2_Standard_DS3_v2</f>
        <v>0</v>
      </c>
      <c r="F317" s="511">
        <f>Standard_DS3_v2_Disk*Quantity_Tenant3_Standard_DS3_v2</f>
        <v>0</v>
      </c>
      <c r="G317" s="511">
        <f>Standard_DS3_v2_Disk*Quantity_Tenant4_Standard_DS3_v2</f>
        <v>0</v>
      </c>
      <c r="H317" s="511">
        <f>Standard_DS3_v2_Disk*Quantity_Tenant5_Standard_DS3_v2</f>
        <v>0</v>
      </c>
      <c r="I317" s="511">
        <f>Standard_DS3_v2_Disk*Quantity_Tenant6_Standard_DS3_v2</f>
        <v>0</v>
      </c>
      <c r="K317" s="491" t="s">
        <v>221</v>
      </c>
      <c r="L317" s="511">
        <f>Standard_DS3_v2_Temp*Quantity_Tenant1_Standard_DS3_v2</f>
        <v>0</v>
      </c>
      <c r="M317" s="511">
        <f>Standard_DS3_v2_Temp*Quantity_Tenant2_Standard_DS3_v2</f>
        <v>0</v>
      </c>
      <c r="N317" s="511">
        <f>Standard_DS3_v2_Temp*Quantity_Tenant3_Standard_DS3_v2</f>
        <v>0</v>
      </c>
      <c r="O317" s="511">
        <f>Standard_DS3_v2_Temp*Quantity_Tenant4_Standard_DS3_v2</f>
        <v>0</v>
      </c>
      <c r="P317" s="511">
        <f>Standard_DS3_v2_Temp*Quantity_Tenant5_Standard_DS3_v2</f>
        <v>0</v>
      </c>
      <c r="Q317" s="511">
        <f>Standard_DS3_v2_Temp*Quantity_Tenant6_Standard_DS3_v2</f>
        <v>0</v>
      </c>
      <c r="S317" s="491" t="s">
        <v>221</v>
      </c>
      <c r="T317" s="490" t="s">
        <v>156</v>
      </c>
      <c r="U317" s="499"/>
    </row>
    <row r="318" spans="3:21" x14ac:dyDescent="0.25">
      <c r="C318" s="491" t="s">
        <v>222</v>
      </c>
      <c r="D318" s="511">
        <f>Standard_DS4_v2_Disk*Quantity_Tenant1_Standard_DS4_v2</f>
        <v>0</v>
      </c>
      <c r="E318" s="511">
        <f>Standard_DS4_v2_Disk*Quantity_Tenant2_Standard_DS4_v2</f>
        <v>0</v>
      </c>
      <c r="F318" s="511">
        <f>Standard_DS4_v2_Disk*Quantity_Tenant3_Standard_DS4_v2</f>
        <v>0</v>
      </c>
      <c r="G318" s="511">
        <f>Standard_DS4_v2_Disk*Quantity_Tenant4_Standard_DS4_v2</f>
        <v>0</v>
      </c>
      <c r="H318" s="511">
        <f>Standard_DS4_v2_Disk*Quantity_Tenant5_Standard_DS4_v2</f>
        <v>0</v>
      </c>
      <c r="I318" s="511">
        <f>Standard_DS4_v2_Disk*Quantity_Tenant6_Standard_DS4_v2</f>
        <v>0</v>
      </c>
      <c r="K318" s="491" t="s">
        <v>222</v>
      </c>
      <c r="L318" s="511">
        <f>Standard_DS4_v2_Temp*Quantity_Tenant1_Standard_DS4_v2</f>
        <v>0</v>
      </c>
      <c r="M318" s="511">
        <f>Standard_DS4_v2_Temp*Quantity_Tenant2_Standard_DS4_v2</f>
        <v>0</v>
      </c>
      <c r="N318" s="511">
        <f>Standard_DS4_v2_Temp*Quantity_Tenant3_Standard_DS4_v2</f>
        <v>0</v>
      </c>
      <c r="O318" s="511">
        <f>Standard_DS4_v2_Temp*Quantity_Tenant4_Standard_DS4_v2</f>
        <v>0</v>
      </c>
      <c r="P318" s="511">
        <f>Standard_DS4_v2_Temp*Quantity_Tenant5_Standard_DS4_v2</f>
        <v>0</v>
      </c>
      <c r="Q318" s="511">
        <f>Standard_DS4_v2_Temp*Quantity_Tenant6_Standard_DS4_v2</f>
        <v>0</v>
      </c>
      <c r="S318" s="491" t="s">
        <v>222</v>
      </c>
      <c r="T318" s="490" t="s">
        <v>156</v>
      </c>
      <c r="U318" s="499"/>
    </row>
    <row r="319" spans="3:21" x14ac:dyDescent="0.25">
      <c r="C319" s="491" t="s">
        <v>223</v>
      </c>
      <c r="D319" s="511">
        <f>Standard_DS5_v2_Disk*Quantity_Tenant1_Standard_DS5_v2</f>
        <v>0</v>
      </c>
      <c r="E319" s="511">
        <f>Standard_DS5_v2_Disk*Quantity_Tenant2_Standard_DS5_v2</f>
        <v>0</v>
      </c>
      <c r="F319" s="511">
        <f>Standard_DS5_v2_Disk*Quantity_Tenant3_Standard_DS5_v2</f>
        <v>0</v>
      </c>
      <c r="G319" s="511">
        <f>Standard_DS5_v2_Disk*Quantity_Tenant4_Standard_DS5_v2</f>
        <v>0</v>
      </c>
      <c r="H319" s="511">
        <f>Standard_DS5_v2_Disk*Quantity_Tenant5_Standard_DS5_v2</f>
        <v>0</v>
      </c>
      <c r="I319" s="511">
        <f>Standard_DS5_v2_Disk*Quantity_Tenant6_Standard_DS5_v2</f>
        <v>0</v>
      </c>
      <c r="K319" s="491" t="s">
        <v>223</v>
      </c>
      <c r="L319" s="511">
        <f>Standard_DS5_v2_Temp*Quantity_Tenant1_Standard_DS5_v2</f>
        <v>0</v>
      </c>
      <c r="M319" s="511">
        <f>Standard_DS5_v2_Temp*Quantity_Tenant2_Standard_DS5_v2</f>
        <v>0</v>
      </c>
      <c r="N319" s="511">
        <f>Standard_DS5_v2_Temp*Quantity_Tenant3_Standard_DS5_v2</f>
        <v>0</v>
      </c>
      <c r="O319" s="511">
        <f>Standard_DS5_v2_Temp*Quantity_Tenant4_Standard_DS5_v2</f>
        <v>0</v>
      </c>
      <c r="P319" s="511">
        <f>Standard_DS5_v2_Temp*Quantity_Tenant5_Standard_DS5_v2</f>
        <v>0</v>
      </c>
      <c r="Q319" s="511">
        <f>Standard_DS5_v2_Temp*Quantity_Tenant6_Standard_DS5_v2</f>
        <v>0</v>
      </c>
      <c r="S319" s="491" t="s">
        <v>223</v>
      </c>
      <c r="T319" s="490" t="s">
        <v>156</v>
      </c>
      <c r="U319" s="499"/>
    </row>
    <row r="320" spans="3:21" x14ac:dyDescent="0.25">
      <c r="C320" s="478" t="s">
        <v>232</v>
      </c>
      <c r="D320" s="372">
        <f>Standard_D2_V3_Disk*Quantity_Tenant1_Standard_D2_V3</f>
        <v>0</v>
      </c>
      <c r="E320" s="372">
        <f>Standard_D2_V3_Disk*Quantity_Tenant2_Standard_D2_V3</f>
        <v>0</v>
      </c>
      <c r="F320" s="372">
        <f>Standard_D2_V3_Disk*Quantity_Tenant3_Standard_D2_V3</f>
        <v>0</v>
      </c>
      <c r="G320" s="372">
        <f>Standard_D2_V3_Disk*Quantity_Tenant4_Standard_D2_V3</f>
        <v>0</v>
      </c>
      <c r="H320" s="372">
        <f>Standard_D2_V3_Disk*Quantity_Tenant5_Standard_D2_V3</f>
        <v>0</v>
      </c>
      <c r="I320" s="372">
        <f>Standard_D2_V3_Disk*Quantity_Tenant6_Standard_D2_V3</f>
        <v>0</v>
      </c>
      <c r="K320" s="478" t="s">
        <v>232</v>
      </c>
      <c r="L320" s="372">
        <f>Standard_D2_V3_Temp*Quantity_Tenant1_Standard_D2_V3</f>
        <v>0</v>
      </c>
      <c r="M320" s="372">
        <f>Standard_D2_V3_Temp*Quantity_Tenant2_Standard_D2_V3</f>
        <v>0</v>
      </c>
      <c r="N320" s="372">
        <f>Standard_D2_V3_Temp*Quantity_Tenant3_Standard_D2_V3</f>
        <v>0</v>
      </c>
      <c r="O320" s="372">
        <f>Standard_D2_V3_Temp*Quantity_Tenant4_Standard_D2_V3</f>
        <v>0</v>
      </c>
      <c r="P320" s="372">
        <f>Standard_D2_V3_Temp*Quantity_Tenant5_Standard_D2_V3</f>
        <v>0</v>
      </c>
      <c r="Q320" s="372">
        <f>Standard_D2_V3_Temp*Quantity_Tenant6_Standard_D2_V3</f>
        <v>0</v>
      </c>
      <c r="S320" s="478" t="s">
        <v>232</v>
      </c>
      <c r="T320" s="477" t="s">
        <v>156</v>
      </c>
      <c r="U320" s="499"/>
    </row>
    <row r="321" spans="3:21" x14ac:dyDescent="0.25">
      <c r="C321" s="478" t="s">
        <v>233</v>
      </c>
      <c r="D321" s="372">
        <f>Standard_D4_V3_Disk*Quantity_Tenant1_Standard_D4_V3</f>
        <v>0</v>
      </c>
      <c r="E321" s="372">
        <f>Standard_D4_V3_Disk*Quantity_Tenant2_Standard_D4_V3</f>
        <v>0</v>
      </c>
      <c r="F321" s="372">
        <f>Standard_D4_V3_Disk*Quantity_Tenant3_Standard_D4_V3</f>
        <v>0</v>
      </c>
      <c r="G321" s="372">
        <f>Standard_D4_V3_Disk*Quantity_Tenant4_Standard_D4_V3</f>
        <v>0</v>
      </c>
      <c r="H321" s="372">
        <f>Standard_D4_V3_Disk*Quantity_Tenant5_Standard_D4_V3</f>
        <v>0</v>
      </c>
      <c r="I321" s="372">
        <f>Standard_D4_V3_Disk*Quantity_Tenant6_Standard_D4_V3</f>
        <v>0</v>
      </c>
      <c r="K321" s="478" t="s">
        <v>233</v>
      </c>
      <c r="L321" s="372">
        <f>Standard_D4_V3_Temp*Quantity_Tenant1_Standard_D4_V3</f>
        <v>0</v>
      </c>
      <c r="M321" s="372">
        <f>Standard_D4_V3_Temp*Quantity_Tenant2_Standard_D4_V3</f>
        <v>0</v>
      </c>
      <c r="N321" s="372">
        <f>Standard_D4_V3_Temp*Quantity_Tenant3_Standard_D4_V3</f>
        <v>0</v>
      </c>
      <c r="O321" s="372">
        <f>Standard_D4_V3_Temp*Quantity_Tenant4_Standard_D4_V3</f>
        <v>0</v>
      </c>
      <c r="P321" s="372">
        <f>Standard_D4_V3_Temp*Quantity_Tenant5_Standard_D4_V3</f>
        <v>0</v>
      </c>
      <c r="Q321" s="372">
        <f>Standard_D4_V3_Temp*Quantity_Tenant6_Standard_D4_V3</f>
        <v>0</v>
      </c>
      <c r="S321" s="478" t="s">
        <v>233</v>
      </c>
      <c r="T321" s="477" t="s">
        <v>156</v>
      </c>
      <c r="U321" s="499"/>
    </row>
    <row r="322" spans="3:21" x14ac:dyDescent="0.25">
      <c r="C322" s="478" t="s">
        <v>234</v>
      </c>
      <c r="D322" s="372">
        <f>Standard_D8_V3_Disk*Quantity_Tenant1_Standard_D8_V3</f>
        <v>0</v>
      </c>
      <c r="E322" s="372">
        <f>Standard_D8_V3_Disk*Quantity_Tenant2_Standard_D8_V3</f>
        <v>0</v>
      </c>
      <c r="F322" s="372">
        <f>Standard_D8_V3_Disk*Quantity_Tenant3_Standard_D8_V3</f>
        <v>0</v>
      </c>
      <c r="G322" s="372">
        <f>Standard_D8_V3_Disk*Quantity_Tenant4_Standard_D8_V3</f>
        <v>0</v>
      </c>
      <c r="H322" s="372">
        <f>Standard_D8_V3_Disk*Quantity_Tenant5_Standard_D8_V3</f>
        <v>0</v>
      </c>
      <c r="I322" s="372">
        <f>Standard_D8_V3_Disk*Quantity_Tenant6_Standard_D8_V3</f>
        <v>0</v>
      </c>
      <c r="K322" s="478" t="s">
        <v>234</v>
      </c>
      <c r="L322" s="372">
        <f>Standard_D8_V3_Temp*Quantity_Tenant1_Standard_D8_V3</f>
        <v>0</v>
      </c>
      <c r="M322" s="372">
        <f>Standard_D8_V3_Temp*Quantity_Tenant2_Standard_D8_V3</f>
        <v>0</v>
      </c>
      <c r="N322" s="372">
        <f>Standard_D8_V3_Temp*Quantity_Tenant3_Standard_D8_V3</f>
        <v>0</v>
      </c>
      <c r="O322" s="372">
        <f>Standard_D8_V3_Temp*Quantity_Tenant4_Standard_D8_V3</f>
        <v>0</v>
      </c>
      <c r="P322" s="372">
        <f>Standard_D8_V3_Temp*Quantity_Tenant5_Standard_D8_V3</f>
        <v>0</v>
      </c>
      <c r="Q322" s="372">
        <f>Standard_D8_V3_Temp*Quantity_Tenant6_Standard_D8_V3</f>
        <v>0</v>
      </c>
      <c r="S322" s="478" t="s">
        <v>234</v>
      </c>
      <c r="T322" s="477" t="s">
        <v>156</v>
      </c>
      <c r="U322" s="499"/>
    </row>
    <row r="323" spans="3:21" x14ac:dyDescent="0.25">
      <c r="C323" s="478" t="s">
        <v>235</v>
      </c>
      <c r="D323" s="372">
        <f>Standard_D16_V3_Disk*Quantity_Tenant1_Standard_D16_V3</f>
        <v>0</v>
      </c>
      <c r="E323" s="372">
        <f>Standard_D16_V3_Disk*Quantity_Tenant2_Standard_D16_V3</f>
        <v>0</v>
      </c>
      <c r="F323" s="372">
        <f>Standard_D16_V3_Disk*Quantity_Tenant3_Standard_D16_V3</f>
        <v>0</v>
      </c>
      <c r="G323" s="372">
        <f>Standard_D16_V3_Disk*Quantity_Tenant4_Standard_D16_V3</f>
        <v>0</v>
      </c>
      <c r="H323" s="372">
        <f>Standard_D16_V3_Disk*Quantity_Tenant5_Standard_D16_V3</f>
        <v>0</v>
      </c>
      <c r="I323" s="372">
        <f>Standard_D16_V3_Disk*Quantity_Tenant6_Standard_D16_V3</f>
        <v>0</v>
      </c>
      <c r="K323" s="478" t="s">
        <v>235</v>
      </c>
      <c r="L323" s="372">
        <f>Standard_D16_V3_Temp*Quantity_Tenant1_Standard_D16_V3</f>
        <v>0</v>
      </c>
      <c r="M323" s="372">
        <f>Standard_D16_V3_Temp*Quantity_Tenant2_Standard_D16_V3</f>
        <v>0</v>
      </c>
      <c r="N323" s="372">
        <f>Standard_D16_V3_Temp*Quantity_Tenant3_Standard_D16_V3</f>
        <v>0</v>
      </c>
      <c r="O323" s="372">
        <f>Standard_D16_V3_Temp*Quantity_Tenant4_Standard_D16_V3</f>
        <v>0</v>
      </c>
      <c r="P323" s="372">
        <f>Standard_D16_V3_Temp*Quantity_Tenant5_Standard_D16_V3</f>
        <v>0</v>
      </c>
      <c r="Q323" s="372">
        <f>Standard_D16_V3_Temp*Quantity_Tenant6_Standard_D16_V3</f>
        <v>0</v>
      </c>
      <c r="S323" s="478" t="s">
        <v>235</v>
      </c>
      <c r="T323" s="477" t="s">
        <v>156</v>
      </c>
      <c r="U323" s="499"/>
    </row>
    <row r="324" spans="3:21" x14ac:dyDescent="0.25">
      <c r="C324" s="478" t="s">
        <v>236</v>
      </c>
      <c r="D324" s="372">
        <f>Standard_D32_V3_Disk*Quantity_Tenant1_Standard_D32_V3</f>
        <v>0</v>
      </c>
      <c r="E324" s="372">
        <f>Standard_D32_V3_Disk*Quantity_Tenant2_Standard_D32_V3</f>
        <v>0</v>
      </c>
      <c r="F324" s="372">
        <f>Standard_D32_V3_Disk*Quantity_Tenant3_Standard_D32_V3</f>
        <v>0</v>
      </c>
      <c r="G324" s="372">
        <f>Standard_D32_V3_Disk*Quantity_Tenant4_Standard_D32_V3</f>
        <v>0</v>
      </c>
      <c r="H324" s="372">
        <f>Standard_D32_V3_Disk*Quantity_Tenant5_Standard_D32_V3</f>
        <v>0</v>
      </c>
      <c r="I324" s="372">
        <f>Standard_D32_V3_Disk*Quantity_Tenant6_Standard_D32_V3</f>
        <v>0</v>
      </c>
      <c r="K324" s="478" t="s">
        <v>236</v>
      </c>
      <c r="L324" s="372">
        <f>Standard_D32_V3_Temp*Quantity_Tenant1_Standard_D32_V3</f>
        <v>0</v>
      </c>
      <c r="M324" s="372">
        <f>Standard_D32_V3_Temp*Quantity_Tenant2_Standard_D32_V3</f>
        <v>0</v>
      </c>
      <c r="N324" s="372">
        <f>Standard_D32_V3_Temp*Quantity_Tenant3_Standard_D32_V3</f>
        <v>0</v>
      </c>
      <c r="O324" s="372">
        <f>Standard_D32_V3_Temp*Quantity_Tenant4_Standard_D32_V3</f>
        <v>0</v>
      </c>
      <c r="P324" s="372">
        <f>Standard_D32_V3_Temp*Quantity_Tenant5_Standard_D32_V3</f>
        <v>0</v>
      </c>
      <c r="Q324" s="372">
        <f>Standard_D32_V3_Temp*Quantity_Tenant6_Standard_D32_V3</f>
        <v>0</v>
      </c>
      <c r="S324" s="478" t="s">
        <v>236</v>
      </c>
      <c r="T324" s="477" t="s">
        <v>156</v>
      </c>
      <c r="U324" s="499"/>
    </row>
    <row r="325" spans="3:21" x14ac:dyDescent="0.25">
      <c r="C325" s="483" t="s">
        <v>238</v>
      </c>
      <c r="D325" s="374">
        <f>Standard_D11_Disk*Quantity_Tenant1_Standard_D11</f>
        <v>0</v>
      </c>
      <c r="E325" s="374">
        <f>Standard_D11_Disk*Quantity_Tenant2_Standard_D11</f>
        <v>0</v>
      </c>
      <c r="F325" s="374">
        <f>Standard_D11_Disk*Quantity_Tenant3_Standard_D11</f>
        <v>0</v>
      </c>
      <c r="G325" s="374">
        <f>Standard_D11_Disk*Quantity_Tenant4_Standard_D11</f>
        <v>0</v>
      </c>
      <c r="H325" s="374">
        <f>Standard_D11_Disk*Quantity_Tenant5_Standard_D11</f>
        <v>0</v>
      </c>
      <c r="I325" s="374">
        <f>Standard_D11_Disk*Quantity_Tenant6_Standard_D11</f>
        <v>0</v>
      </c>
      <c r="K325" s="483" t="s">
        <v>238</v>
      </c>
      <c r="L325" s="374">
        <f>Standard_D11_Temp*Quantity_Tenant1_Standard_D11</f>
        <v>0</v>
      </c>
      <c r="M325" s="374">
        <f>Standard_D11_Temp*Quantity_Tenant2_Standard_D11</f>
        <v>0</v>
      </c>
      <c r="N325" s="374">
        <f>Standard_D11_Temp*Quantity_Tenant3_Standard_D11</f>
        <v>0</v>
      </c>
      <c r="O325" s="374">
        <f>Standard_D11_Temp*Quantity_Tenant4_Standard_D11</f>
        <v>0</v>
      </c>
      <c r="P325" s="374">
        <f>Standard_D11_Temp*Quantity_Tenant5_Standard_D11</f>
        <v>0</v>
      </c>
      <c r="Q325" s="374">
        <f>Standard_D11_Temp*Quantity_Tenant6_Standard_D11</f>
        <v>0</v>
      </c>
      <c r="S325" s="483" t="s">
        <v>238</v>
      </c>
      <c r="T325" s="488" t="s">
        <v>156</v>
      </c>
      <c r="U325" s="499"/>
    </row>
    <row r="326" spans="3:21" x14ac:dyDescent="0.25">
      <c r="C326" s="483" t="s">
        <v>240</v>
      </c>
      <c r="D326" s="374">
        <f>Standard_D12_Disk*Quantity_Tenant1_Standard_D12</f>
        <v>0</v>
      </c>
      <c r="E326" s="374">
        <f>Standard_D12_Disk*Quantity_Tenant2_Standard_D12</f>
        <v>0</v>
      </c>
      <c r="F326" s="374">
        <f>Standard_D12_Disk*Quantity_Tenant3_Standard_D12</f>
        <v>0</v>
      </c>
      <c r="G326" s="374">
        <f>Standard_D12_Disk*Quantity_Tenant4_Standard_D12</f>
        <v>0</v>
      </c>
      <c r="H326" s="374">
        <f>Standard_D12_Disk*Quantity_Tenant5_Standard_D12</f>
        <v>0</v>
      </c>
      <c r="I326" s="374">
        <f>Standard_D12_Disk*Quantity_Tenant6_Standard_D12</f>
        <v>0</v>
      </c>
      <c r="K326" s="483" t="s">
        <v>240</v>
      </c>
      <c r="L326" s="374">
        <f>Standard_D12_Temp*Quantity_Tenant1_Standard_D12</f>
        <v>0</v>
      </c>
      <c r="M326" s="374">
        <f>Standard_D12_Temp*Quantity_Tenant2_Standard_D12</f>
        <v>0</v>
      </c>
      <c r="N326" s="374">
        <f>Standard_D12_Temp*Quantity_Tenant3_Standard_D12</f>
        <v>0</v>
      </c>
      <c r="O326" s="374">
        <f>Standard_D12_Temp*Quantity_Tenant4_Standard_D12</f>
        <v>0</v>
      </c>
      <c r="P326" s="374">
        <f>Standard_D12_Temp*Quantity_Tenant5_Standard_D12</f>
        <v>0</v>
      </c>
      <c r="Q326" s="374">
        <f>Standard_D12_Temp*Quantity_Tenant6_Standard_D12</f>
        <v>0</v>
      </c>
      <c r="S326" s="483" t="s">
        <v>240</v>
      </c>
      <c r="T326" s="488" t="s">
        <v>156</v>
      </c>
      <c r="U326" s="499"/>
    </row>
    <row r="327" spans="3:21" x14ac:dyDescent="0.25">
      <c r="C327" s="483" t="s">
        <v>242</v>
      </c>
      <c r="D327" s="374">
        <f>Standard_D13_Disk*Quantity_Tenant1_Standard_D13</f>
        <v>0</v>
      </c>
      <c r="E327" s="374">
        <f>Standard_D13_Disk*Quantity_Tenant2_Standard_D13</f>
        <v>0</v>
      </c>
      <c r="F327" s="374">
        <f>Standard_D13_Disk*Quantity_Tenant3_Standard_D13</f>
        <v>0</v>
      </c>
      <c r="G327" s="374">
        <f>Standard_D13_Disk*Quantity_Tenant4_Standard_D13</f>
        <v>0</v>
      </c>
      <c r="H327" s="374">
        <f>Standard_D13_Disk*Quantity_Tenant5_Standard_D13</f>
        <v>0</v>
      </c>
      <c r="I327" s="374">
        <f>Standard_D13_Disk*Quantity_Tenant6_Standard_D13</f>
        <v>0</v>
      </c>
      <c r="K327" s="483" t="s">
        <v>242</v>
      </c>
      <c r="L327" s="374">
        <f>Standard_D13_Temp*Quantity_Tenant1_Standard_D13</f>
        <v>0</v>
      </c>
      <c r="M327" s="374">
        <f>Standard_D13_Temp*Quantity_Tenant2_Standard_D13</f>
        <v>0</v>
      </c>
      <c r="N327" s="374">
        <f>Standard_D13_Temp*Quantity_Tenant3_Standard_D13</f>
        <v>0</v>
      </c>
      <c r="O327" s="374">
        <f>Standard_D13_Temp*Quantity_Tenant4_Standard_D13</f>
        <v>0</v>
      </c>
      <c r="P327" s="374">
        <f>Standard_D13_Temp*Quantity_Tenant5_Standard_D13</f>
        <v>0</v>
      </c>
      <c r="Q327" s="374">
        <f>Standard_D13_Temp*Quantity_Tenant6_Standard_D13</f>
        <v>0</v>
      </c>
      <c r="S327" s="483" t="s">
        <v>242</v>
      </c>
      <c r="T327" s="488" t="s">
        <v>156</v>
      </c>
      <c r="U327" s="499"/>
    </row>
    <row r="328" spans="3:21" x14ac:dyDescent="0.25">
      <c r="C328" s="483" t="s">
        <v>244</v>
      </c>
      <c r="D328" s="374">
        <f>Standard_D14_Disk*Quantity_Tenant1_Standard_D14</f>
        <v>0</v>
      </c>
      <c r="E328" s="374">
        <f>Standard_D14_Disk*Quantity_Tenant2_Standard_D14</f>
        <v>0</v>
      </c>
      <c r="F328" s="374">
        <f>Standard_D14_Disk*Quantity_Tenant3_Standard_D14</f>
        <v>0</v>
      </c>
      <c r="G328" s="374">
        <f>Standard_D14_Disk*Quantity_Tenant4_Standard_D14</f>
        <v>0</v>
      </c>
      <c r="H328" s="374">
        <f>Standard_D14_Disk*Quantity_Tenant5_Standard_D14</f>
        <v>0</v>
      </c>
      <c r="I328" s="374">
        <f>Standard_D14_Disk*Quantity_Tenant6_Standard_D14</f>
        <v>0</v>
      </c>
      <c r="K328" s="483" t="s">
        <v>244</v>
      </c>
      <c r="L328" s="374">
        <f>Standard_D14_Temp*Quantity_Tenant1_Standard_D14</f>
        <v>0</v>
      </c>
      <c r="M328" s="374">
        <f>Standard_D14_Temp*Quantity_Tenant2_Standard_D14</f>
        <v>0</v>
      </c>
      <c r="N328" s="374">
        <f>Standard_D14_Temp*Quantity_Tenant3_Standard_D14</f>
        <v>0</v>
      </c>
      <c r="O328" s="374">
        <f>Standard_D14_Temp*Quantity_Tenant4_Standard_D14</f>
        <v>0</v>
      </c>
      <c r="P328" s="374">
        <f>Standard_D14_Temp*Quantity_Tenant5_Standard_D14</f>
        <v>0</v>
      </c>
      <c r="Q328" s="374">
        <f>Standard_D14_Temp*Quantity_Tenant6_Standard_D14</f>
        <v>0</v>
      </c>
      <c r="S328" s="483" t="s">
        <v>244</v>
      </c>
      <c r="T328" s="488" t="s">
        <v>156</v>
      </c>
      <c r="U328" s="499"/>
    </row>
    <row r="329" spans="3:21" x14ac:dyDescent="0.25">
      <c r="C329" s="479" t="s">
        <v>247</v>
      </c>
      <c r="D329" s="373">
        <f>Standard_DS11_Disk*Quantity_Tenant1_Standard_DS11</f>
        <v>0</v>
      </c>
      <c r="E329" s="373">
        <f>Standard_DS11_Disk*Quantity_Tenant2_Standard_DS11</f>
        <v>0</v>
      </c>
      <c r="F329" s="373">
        <f>Standard_DS11_Disk*Quantity_Tenant3_Standard_DS11</f>
        <v>0</v>
      </c>
      <c r="G329" s="373">
        <f>Standard_DS11_Disk*Quantity_Tenant4_Standard_DS11</f>
        <v>0</v>
      </c>
      <c r="H329" s="373">
        <f>Standard_DS11_Disk*Quantity_Tenant5_Standard_DS11</f>
        <v>0</v>
      </c>
      <c r="I329" s="373">
        <f>Standard_DS11_Disk*Quantity_Tenant6_Standard_DS11</f>
        <v>0</v>
      </c>
      <c r="K329" s="479" t="s">
        <v>247</v>
      </c>
      <c r="L329" s="373">
        <f>Standard_DS11_Temp*Quantity_Tenant1_Standard_DS11</f>
        <v>0</v>
      </c>
      <c r="M329" s="373">
        <f>Standard_DS11_Temp*Quantity_Tenant2_Standard_DS11</f>
        <v>0</v>
      </c>
      <c r="N329" s="373">
        <f>Standard_DS11_Temp*Quantity_Tenant3_Standard_DS11</f>
        <v>0</v>
      </c>
      <c r="O329" s="373">
        <f>Standard_DS11_Temp*Quantity_Tenant4_Standard_DS11</f>
        <v>0</v>
      </c>
      <c r="P329" s="373">
        <f>Standard_DS11_Temp*Quantity_Tenant5_Standard_DS11</f>
        <v>0</v>
      </c>
      <c r="Q329" s="373">
        <f>Standard_DS11_Temp*Quantity_Tenant6_Standard_DS11</f>
        <v>0</v>
      </c>
      <c r="S329" s="479" t="s">
        <v>247</v>
      </c>
      <c r="T329" s="481" t="s">
        <v>156</v>
      </c>
      <c r="U329" s="499"/>
    </row>
    <row r="330" spans="3:21" x14ac:dyDescent="0.25">
      <c r="C330" s="479" t="s">
        <v>251</v>
      </c>
      <c r="D330" s="373">
        <f>Standard_DS12_Disk*Quantity_Tenant1_Standard_DS12</f>
        <v>0</v>
      </c>
      <c r="E330" s="373">
        <f>Standard_DS12_Disk*Quantity_Tenant2_Standard_DS12</f>
        <v>0</v>
      </c>
      <c r="F330" s="373">
        <f>Standard_DS12_Disk*Quantity_Tenant3_Standard_DS12</f>
        <v>0</v>
      </c>
      <c r="G330" s="373">
        <f>Standard_DS12_Disk*Quantity_Tenant4_Standard_DS12</f>
        <v>0</v>
      </c>
      <c r="H330" s="373">
        <f>Standard_DS12_Disk*Quantity_Tenant5_Standard_DS12</f>
        <v>0</v>
      </c>
      <c r="I330" s="373">
        <f>Standard_DS12_Disk*Quantity_Tenant6_Standard_DS12</f>
        <v>0</v>
      </c>
      <c r="K330" s="479" t="s">
        <v>251</v>
      </c>
      <c r="L330" s="373">
        <f>Standard_DS12_Temp*Quantity_Tenant1_Standard_DS12</f>
        <v>0</v>
      </c>
      <c r="M330" s="373">
        <f>Standard_DS12_Temp*Quantity_Tenant2_Standard_DS12</f>
        <v>0</v>
      </c>
      <c r="N330" s="373">
        <f>Standard_DS12_Temp*Quantity_Tenant3_Standard_DS12</f>
        <v>0</v>
      </c>
      <c r="O330" s="373">
        <f>Standard_DS12_Temp*Quantity_Tenant4_Standard_DS12</f>
        <v>0</v>
      </c>
      <c r="P330" s="373">
        <f>Standard_DS12_Temp*Quantity_Tenant5_Standard_DS12</f>
        <v>0</v>
      </c>
      <c r="Q330" s="373">
        <f>Standard_DS12_Temp*Quantity_Tenant6_Standard_DS12</f>
        <v>0</v>
      </c>
      <c r="S330" s="479" t="s">
        <v>251</v>
      </c>
      <c r="T330" s="481" t="s">
        <v>156</v>
      </c>
      <c r="U330" s="499"/>
    </row>
    <row r="331" spans="3:21" x14ac:dyDescent="0.25">
      <c r="C331" s="479" t="s">
        <v>253</v>
      </c>
      <c r="D331" s="373">
        <f>Standard_DS13_Disk*Quantity_Tenant1_Standard_DS13</f>
        <v>0</v>
      </c>
      <c r="E331" s="373">
        <f>Standard_DS13_Disk*Quantity_Tenant2_Standard_DS13</f>
        <v>0</v>
      </c>
      <c r="F331" s="373">
        <f>Standard_DS13_Disk*Quantity_Tenant3_Standard_DS13</f>
        <v>0</v>
      </c>
      <c r="G331" s="373">
        <f>Standard_DS13_Disk*Quantity_Tenant4_Standard_DS13</f>
        <v>0</v>
      </c>
      <c r="H331" s="373">
        <f>Standard_DS13_Disk*Quantity_Tenant5_Standard_DS13</f>
        <v>0</v>
      </c>
      <c r="I331" s="373">
        <f>Standard_DS13_Disk*Quantity_Tenant6_Standard_DS13</f>
        <v>0</v>
      </c>
      <c r="K331" s="479" t="s">
        <v>253</v>
      </c>
      <c r="L331" s="373">
        <f>Standard_DS13_Temp*Quantity_Tenant1_Standard_DS13</f>
        <v>0</v>
      </c>
      <c r="M331" s="373">
        <f>Standard_DS13_Temp*Quantity_Tenant2_Standard_DS13</f>
        <v>0</v>
      </c>
      <c r="N331" s="373">
        <f>Standard_DS13_Temp*Quantity_Tenant3_Standard_DS13</f>
        <v>0</v>
      </c>
      <c r="O331" s="373">
        <f>Standard_DS13_Temp*Quantity_Tenant4_Standard_DS13</f>
        <v>0</v>
      </c>
      <c r="P331" s="373">
        <f>Standard_DS13_Temp*Quantity_Tenant5_Standard_DS13</f>
        <v>0</v>
      </c>
      <c r="Q331" s="373">
        <f>Standard_DS13_Temp*Quantity_Tenant6_Standard_DS13</f>
        <v>0</v>
      </c>
      <c r="S331" s="479" t="s">
        <v>253</v>
      </c>
      <c r="T331" s="481" t="s">
        <v>156</v>
      </c>
      <c r="U331" s="499"/>
    </row>
    <row r="332" spans="3:21" x14ac:dyDescent="0.25">
      <c r="C332" s="479" t="s">
        <v>255</v>
      </c>
      <c r="D332" s="373">
        <f>Standard_DS14_Disk*Quantity_Tenant1_Standard_DS14</f>
        <v>0</v>
      </c>
      <c r="E332" s="373">
        <f>Standard_DS14_Disk*Quantity_Tenant2_Standard_DS14</f>
        <v>0</v>
      </c>
      <c r="F332" s="373">
        <f>Standard_DS14_Disk*Quantity_Tenant3_Standard_DS14</f>
        <v>0</v>
      </c>
      <c r="G332" s="373">
        <f>Standard_DS14_Disk*Quantity_Tenant4_Standard_DS14</f>
        <v>0</v>
      </c>
      <c r="H332" s="373">
        <f>Standard_DS14_Disk*Quantity_Tenant5_Standard_DS14</f>
        <v>0</v>
      </c>
      <c r="I332" s="373">
        <f>Standard_DS14_Disk*Quantity_Tenant6_Standard_DS14</f>
        <v>0</v>
      </c>
      <c r="K332" s="479" t="s">
        <v>255</v>
      </c>
      <c r="L332" s="373">
        <f>Standard_DS14_Temp*Quantity_Tenant1_Standard_DS14</f>
        <v>0</v>
      </c>
      <c r="M332" s="373">
        <f>Standard_DS14_Temp*Quantity_Tenant2_Standard_DS14</f>
        <v>0</v>
      </c>
      <c r="N332" s="373">
        <f>Standard_DS14_Temp*Quantity_Tenant3_Standard_DS14</f>
        <v>0</v>
      </c>
      <c r="O332" s="373">
        <f>Standard_DS14_Temp*Quantity_Tenant4_Standard_DS14</f>
        <v>0</v>
      </c>
      <c r="P332" s="373">
        <f>Standard_DS14_Temp*Quantity_Tenant5_Standard_DS14</f>
        <v>0</v>
      </c>
      <c r="Q332" s="373">
        <f>Standard_DS14_Temp*Quantity_Tenant6_Standard_DS14</f>
        <v>0</v>
      </c>
      <c r="S332" s="479" t="s">
        <v>255</v>
      </c>
      <c r="T332" s="481" t="s">
        <v>156</v>
      </c>
      <c r="U332" s="499"/>
    </row>
    <row r="333" spans="3:21" x14ac:dyDescent="0.25">
      <c r="C333" s="483" t="s">
        <v>259</v>
      </c>
      <c r="D333" s="374">
        <f>Standard_D11_v2_Disk*Quantity_Tenant1_Standard_D11_v2</f>
        <v>0</v>
      </c>
      <c r="E333" s="374">
        <f>Standard_D11_v2_Disk*Quantity_Tenant2_Standard_D11_v2</f>
        <v>0</v>
      </c>
      <c r="F333" s="374">
        <f>Standard_D11_v2_Disk*Quantity_Tenant3_Standard_D11_v2</f>
        <v>0</v>
      </c>
      <c r="G333" s="374">
        <f>Standard_D11_v2_Disk*Quantity_Tenant4_Standard_D11_v2</f>
        <v>0</v>
      </c>
      <c r="H333" s="374">
        <f>Standard_D11_v2_Disk*Quantity_Tenant5_Standard_D11_v2</f>
        <v>163840</v>
      </c>
      <c r="I333" s="374">
        <f>Standard_D11_v2_Disk*Quantity_Tenant6_Standard_D11_v2</f>
        <v>0</v>
      </c>
      <c r="K333" s="483" t="s">
        <v>259</v>
      </c>
      <c r="L333" s="374">
        <f>Standard_D11_v2_Temp*Quantity_Tenant1_Standard_D11_v2</f>
        <v>0</v>
      </c>
      <c r="M333" s="374">
        <f>Standard_D11_v2_Temp*Quantity_Tenant2_Standard_D11_v2</f>
        <v>0</v>
      </c>
      <c r="N333" s="374">
        <f>Standard_D11_v2_Temp*Quantity_Tenant3_Standard_D11_v2</f>
        <v>0</v>
      </c>
      <c r="O333" s="374">
        <f>Standard_D11_v2_Temp*Quantity_Tenant4_Standard_D11_v2</f>
        <v>0</v>
      </c>
      <c r="P333" s="374">
        <f>Standard_D11_v2_Temp*Quantity_Tenant5_Standard_D11_v2</f>
        <v>1000</v>
      </c>
      <c r="Q333" s="374">
        <f>Standard_D11_v2_Temp*Quantity_Tenant6_Standard_D11_v2</f>
        <v>0</v>
      </c>
      <c r="S333" s="483" t="s">
        <v>259</v>
      </c>
      <c r="T333" s="488" t="s">
        <v>156</v>
      </c>
      <c r="U333" s="499"/>
    </row>
    <row r="334" spans="3:21" x14ac:dyDescent="0.25">
      <c r="C334" s="483" t="s">
        <v>260</v>
      </c>
      <c r="D334" s="374">
        <f>Standard_D12_v2_Disk*Quantity_Tenant1_Standard_D12_v2</f>
        <v>0</v>
      </c>
      <c r="E334" s="374">
        <f>Standard_D12_v2_Disk*Quantity_Tenant2_Standard_D12_v2</f>
        <v>0</v>
      </c>
      <c r="F334" s="374">
        <f>Standard_D12_v2_Disk*Quantity_Tenant3_Standard_D12_v2</f>
        <v>0</v>
      </c>
      <c r="G334" s="374">
        <f>Standard_D12_v2_Disk*Quantity_Tenant4_Standard_D12_v2</f>
        <v>0</v>
      </c>
      <c r="H334" s="374">
        <f>Standard_D12_v2_Disk*Quantity_Tenant5_Standard_D12_v2</f>
        <v>0</v>
      </c>
      <c r="I334" s="374">
        <f>Standard_D12_v2_Disk*Quantity_Tenant6_Standard_D12_v2</f>
        <v>0</v>
      </c>
      <c r="K334" s="483" t="s">
        <v>260</v>
      </c>
      <c r="L334" s="374">
        <f>Standard_D12_v2_Temp*Quantity_Tenant1_Standard_D12_v2</f>
        <v>0</v>
      </c>
      <c r="M334" s="374">
        <f>Standard_D12_v2_Temp*Quantity_Tenant2_Standard_D12_v2</f>
        <v>0</v>
      </c>
      <c r="N334" s="374">
        <f>Standard_D12_v2_Temp*Quantity_Tenant3_Standard_D12_v2</f>
        <v>0</v>
      </c>
      <c r="O334" s="374">
        <f>Standard_D12_v2_Temp*Quantity_Tenant4_Standard_D12_v2</f>
        <v>0</v>
      </c>
      <c r="P334" s="374">
        <f>Standard_D12_v2_Temp*Quantity_Tenant5_Standard_D12_v2</f>
        <v>0</v>
      </c>
      <c r="Q334" s="374">
        <f>Standard_D12_v2_Temp*Quantity_Tenant6_Standard_D12_v2</f>
        <v>0</v>
      </c>
      <c r="S334" s="483" t="s">
        <v>260</v>
      </c>
      <c r="T334" s="488" t="s">
        <v>156</v>
      </c>
      <c r="U334" s="499"/>
    </row>
    <row r="335" spans="3:21" x14ac:dyDescent="0.25">
      <c r="C335" s="483" t="s">
        <v>261</v>
      </c>
      <c r="D335" s="374">
        <f>Standard_D13_v2_Disk*Quantity_Tenant1_Standard_D13_v2</f>
        <v>0</v>
      </c>
      <c r="E335" s="374">
        <f>Standard_D13_v2_Disk*Quantity_Tenant2_Standard_D13_v2</f>
        <v>0</v>
      </c>
      <c r="F335" s="374">
        <f>Standard_D13_v2_Disk*Quantity_Tenant3_Standard_D13_v2</f>
        <v>0</v>
      </c>
      <c r="G335" s="374">
        <f>Standard_D13_v2_Disk*Quantity_Tenant4_Standard_D13_v2</f>
        <v>0</v>
      </c>
      <c r="H335" s="374">
        <f>Standard_D13_v2_Disk*Quantity_Tenant5_Standard_D13_v2</f>
        <v>0</v>
      </c>
      <c r="I335" s="374">
        <f>Standard_D13_v2_Disk*Quantity_Tenant6_Standard_D13_v2</f>
        <v>0</v>
      </c>
      <c r="K335" s="483" t="s">
        <v>261</v>
      </c>
      <c r="L335" s="374">
        <f>Standard_D13_v2_Temp*Quantity_Tenant1_Standard_D13_v2</f>
        <v>0</v>
      </c>
      <c r="M335" s="374">
        <f>Standard_D13_v2_Temp*Quantity_Tenant2_Standard_D13_v2</f>
        <v>0</v>
      </c>
      <c r="N335" s="374">
        <f>Standard_D13_v2_Temp*Quantity_Tenant3_Standard_D13_v2</f>
        <v>0</v>
      </c>
      <c r="O335" s="374">
        <f>Standard_D13_v2_Temp*Quantity_Tenant4_Standard_D13_v2</f>
        <v>0</v>
      </c>
      <c r="P335" s="374">
        <f>Standard_D13_v2_Temp*Quantity_Tenant5_Standard_D13_v2</f>
        <v>0</v>
      </c>
      <c r="Q335" s="374">
        <f>Standard_D13_v2_Temp*Quantity_Tenant6_Standard_D13_v2</f>
        <v>0</v>
      </c>
      <c r="S335" s="483" t="s">
        <v>261</v>
      </c>
      <c r="T335" s="488" t="s">
        <v>156</v>
      </c>
      <c r="U335" s="499"/>
    </row>
    <row r="336" spans="3:21" x14ac:dyDescent="0.25">
      <c r="C336" s="483" t="s">
        <v>262</v>
      </c>
      <c r="D336" s="374">
        <f>Standard_D14_v2_Disk*Quantity_Tenant1_Standard_D14_v2</f>
        <v>0</v>
      </c>
      <c r="E336" s="374">
        <f>Standard_D14_v2_Disk*Quantity_Tenant2_Standard_D14_v2</f>
        <v>0</v>
      </c>
      <c r="F336" s="374">
        <f>Standard_D14_v2_Disk*Quantity_Tenant3_Standard_D14_v2</f>
        <v>0</v>
      </c>
      <c r="G336" s="374">
        <f>Standard_D14_v2_Disk*Quantity_Tenant4_Standard_D14_v2</f>
        <v>0</v>
      </c>
      <c r="H336" s="374">
        <f>Standard_D14_v2_Disk*Quantity_Tenant5_Standard_D14_v2</f>
        <v>0</v>
      </c>
      <c r="I336" s="374">
        <f>Standard_D14_v2_Disk*Quantity_Tenant6_Standard_D14_v2</f>
        <v>0</v>
      </c>
      <c r="K336" s="483" t="s">
        <v>262</v>
      </c>
      <c r="L336" s="374">
        <f>Standard_D14_v2_Temp*Quantity_Tenant1_Standard_D14_v2</f>
        <v>0</v>
      </c>
      <c r="M336" s="374">
        <f>Standard_D14_v2_Temp*Quantity_Tenant2_Standard_D14_v2</f>
        <v>0</v>
      </c>
      <c r="N336" s="374">
        <f>Standard_D14_v2_Temp*Quantity_Tenant3_Standard_D14_v2</f>
        <v>0</v>
      </c>
      <c r="O336" s="374">
        <f>Standard_D14_v2_Temp*Quantity_Tenant4_Standard_D14_v2</f>
        <v>0</v>
      </c>
      <c r="P336" s="374">
        <f>Standard_D14_v2_Temp*Quantity_Tenant5_Standard_D14_v2</f>
        <v>0</v>
      </c>
      <c r="Q336" s="374">
        <f>Standard_D14_v2_Temp*Quantity_Tenant6_Standard_D14_v2</f>
        <v>0</v>
      </c>
      <c r="S336" s="483" t="s">
        <v>262</v>
      </c>
      <c r="T336" s="488" t="s">
        <v>156</v>
      </c>
      <c r="U336" s="499"/>
    </row>
    <row r="337" spans="3:21" x14ac:dyDescent="0.25">
      <c r="C337" s="492" t="s">
        <v>263</v>
      </c>
      <c r="D337" s="375">
        <f>Standard_DS11_v2_Disk*Quantity_Tenant1_Standard_DS11_v2</f>
        <v>0</v>
      </c>
      <c r="E337" s="375">
        <f>Standard_DS11_v2_Disk*Quantity_Tenant2_Standard_DS11_v2</f>
        <v>0</v>
      </c>
      <c r="F337" s="375">
        <f>Standard_DS11_v2_Disk*Quantity_Tenant3_Standard_DS11_v2</f>
        <v>0</v>
      </c>
      <c r="G337" s="375">
        <f>Standard_DS11_v2_Disk*Quantity_Tenant4_Standard_DS11_v2</f>
        <v>0</v>
      </c>
      <c r="H337" s="375">
        <f>Standard_DS11_v2_Disk*Quantity_Tenant5_Standard_DS11_v2</f>
        <v>0</v>
      </c>
      <c r="I337" s="375">
        <f>Standard_DS11_v2_Disk*Quantity_Tenant6_Standard_DS11_v2</f>
        <v>0</v>
      </c>
      <c r="K337" s="492" t="s">
        <v>263</v>
      </c>
      <c r="L337" s="375">
        <f>Standard_DS11_v2_Temp*Quantity_Tenant1_Standard_DS11_v2</f>
        <v>0</v>
      </c>
      <c r="M337" s="375">
        <f>Standard_DS11_v2_Temp*Quantity_Tenant2_Standard_DS11_v2</f>
        <v>0</v>
      </c>
      <c r="N337" s="375">
        <f>Standard_DS11_v2_Temp*Quantity_Tenant3_Standard_DS11_v2</f>
        <v>0</v>
      </c>
      <c r="O337" s="375">
        <f>Standard_DS11_v2_Temp*Quantity_Tenant4_Standard_DS11_v2</f>
        <v>0</v>
      </c>
      <c r="P337" s="375">
        <f>Standard_DS11_v2_Temp*Quantity_Tenant5_Standard_DS11_v2</f>
        <v>0</v>
      </c>
      <c r="Q337" s="375">
        <f>Standard_DS11_v2_Temp*Quantity_Tenant6_Standard_DS11_v2</f>
        <v>0</v>
      </c>
      <c r="S337" s="492" t="s">
        <v>263</v>
      </c>
      <c r="T337" s="490" t="s">
        <v>156</v>
      </c>
      <c r="U337" s="499"/>
    </row>
    <row r="338" spans="3:21" x14ac:dyDescent="0.25">
      <c r="C338" s="493" t="s">
        <v>264</v>
      </c>
      <c r="D338" s="222">
        <f>Standard_DS12_v2_Disk*Quantity_Tenant1_Standard_DS12_v2</f>
        <v>0</v>
      </c>
      <c r="E338" s="222">
        <f>Standard_DS12_v2_Disk*Quantity_Tenant2_Standard_DS12_v2</f>
        <v>0</v>
      </c>
      <c r="F338" s="222">
        <f>Standard_DS12_v2_Disk*Quantity_Tenant3_Standard_DS12_v2</f>
        <v>0</v>
      </c>
      <c r="G338" s="222">
        <f>Standard_DS12_v2_Disk*Quantity_Tenant4_Standard_DS12_v2</f>
        <v>0</v>
      </c>
      <c r="H338" s="222">
        <f>Standard_DS12_v2_Disk*Quantity_Tenant5_Standard_DS12_v2</f>
        <v>0</v>
      </c>
      <c r="I338" s="222">
        <f>Standard_DS12_v2_Disk*Quantity_Tenant6_Standard_DS12_v2</f>
        <v>0</v>
      </c>
      <c r="K338" s="493" t="s">
        <v>264</v>
      </c>
      <c r="L338" s="222">
        <f>Standard_DS12_v2_Temp*Quantity_Tenant1_Standard_DS12_v2</f>
        <v>0</v>
      </c>
      <c r="M338" s="222">
        <f>Standard_DS12_v2_Temp*Quantity_Tenant2_Standard_DS12_v2</f>
        <v>0</v>
      </c>
      <c r="N338" s="222">
        <f>Standard_DS12_v2_Temp*Quantity_Tenant3_Standard_DS12_v2</f>
        <v>0</v>
      </c>
      <c r="O338" s="222">
        <f>Standard_DS12_v2_Temp*Quantity_Tenant4_Standard_DS12_v2</f>
        <v>0</v>
      </c>
      <c r="P338" s="222">
        <f>Standard_DS12_v2_Temp*Quantity_Tenant5_Standard_DS12_v2</f>
        <v>0</v>
      </c>
      <c r="Q338" s="222">
        <f>Standard_DS12_v2_Temp*Quantity_Tenant6_Standard_DS12_v2</f>
        <v>0</v>
      </c>
      <c r="S338" s="493" t="s">
        <v>264</v>
      </c>
      <c r="T338" s="490" t="s">
        <v>156</v>
      </c>
      <c r="U338" s="499"/>
    </row>
    <row r="339" spans="3:21" x14ac:dyDescent="0.25">
      <c r="C339" s="492" t="s">
        <v>265</v>
      </c>
      <c r="D339" s="375">
        <f>Standard_DS13_v2_Disk*Quantity_Tenant1_Standard_DS13_v2</f>
        <v>0</v>
      </c>
      <c r="E339" s="375">
        <f>Standard_DS13_v2_Disk*Quantity_Tenant2_Standard_DS13_v2</f>
        <v>0</v>
      </c>
      <c r="F339" s="375">
        <f>Standard_DS13_v2_Disk*Quantity_Tenant3_Standard_DS13_v2</f>
        <v>0</v>
      </c>
      <c r="G339" s="375">
        <f>Standard_DS13_v2_Disk*Quantity_Tenant4_Standard_DS13_v2</f>
        <v>0</v>
      </c>
      <c r="H339" s="375">
        <f>Standard_DS13_v2_Disk*Quantity_Tenant5_Standard_DS13_v2</f>
        <v>0</v>
      </c>
      <c r="I339" s="222">
        <f>Standard_DS13_v2_Disk*Quantity_Tenant6_Standard_DS13_v2</f>
        <v>0</v>
      </c>
      <c r="K339" s="492" t="s">
        <v>265</v>
      </c>
      <c r="L339" s="375">
        <f>Standard_DS13_v2_Temp*Quantity_Tenant1_Standard_DS13_v2</f>
        <v>0</v>
      </c>
      <c r="M339" s="375">
        <f>Standard_DS13_v2_Temp*Quantity_Tenant2_Standard_DS13_v2</f>
        <v>0</v>
      </c>
      <c r="N339" s="375">
        <f>Standard_DS13_v2_Temp*Quantity_Tenant3_Standard_DS13_v2</f>
        <v>0</v>
      </c>
      <c r="O339" s="375">
        <f>Standard_DS13_v2_Temp*Quantity_Tenant4_Standard_DS13_v2</f>
        <v>0</v>
      </c>
      <c r="P339" s="375">
        <f>Standard_DS13_v2_Temp*Quantity_Tenant5_Standard_DS13_v2</f>
        <v>0</v>
      </c>
      <c r="Q339" s="222">
        <f>Standard_DS13_v2_Temp*Quantity_Tenant6_Standard_DS13_v2</f>
        <v>0</v>
      </c>
      <c r="S339" s="492" t="s">
        <v>265</v>
      </c>
      <c r="T339" s="490" t="s">
        <v>156</v>
      </c>
      <c r="U339" s="499"/>
    </row>
    <row r="340" spans="3:21" x14ac:dyDescent="0.25">
      <c r="C340" s="492" t="s">
        <v>266</v>
      </c>
      <c r="D340" s="375">
        <f>Standard_DS14_v2_Disk*Quantity_Tenant1_Standard_DS14_v2</f>
        <v>0</v>
      </c>
      <c r="E340" s="375">
        <f>Standard_DS14_v2_Disk*Quantity_Tenant2_Standard_DS14_v2</f>
        <v>0</v>
      </c>
      <c r="F340" s="375">
        <f>Standard_DS14_v2_Disk*Quantity_Tenant3_Standard_DS14_v2</f>
        <v>0</v>
      </c>
      <c r="G340" s="375">
        <f>Standard_DS14_v2_Disk*Quantity_Tenant4_Standard_DS14_v2</f>
        <v>0</v>
      </c>
      <c r="H340" s="375">
        <f>Standard_DS14_v2_Disk*Quantity_Tenant5_Standard_DS14_v2</f>
        <v>0</v>
      </c>
      <c r="I340" s="375">
        <f>Standard_DS14_v2_Disk*Quantity_Tenant6_Standard_DS14_v2</f>
        <v>0</v>
      </c>
      <c r="K340" s="492" t="s">
        <v>266</v>
      </c>
      <c r="L340" s="375">
        <f>Standard_DS14_v2_Temp*Quantity_Tenant1_Standard_DS14_v2</f>
        <v>0</v>
      </c>
      <c r="M340" s="375">
        <f>Standard_DS14_v2_Temp*Quantity_Tenant2_Standard_DS14_v2</f>
        <v>0</v>
      </c>
      <c r="N340" s="375">
        <f>Standard_DS14_v2_Temp*Quantity_Tenant3_Standard_DS14_v2</f>
        <v>0</v>
      </c>
      <c r="O340" s="375">
        <f>Standard_DS14_v2_Temp*Quantity_Tenant4_Standard_DS14_v2</f>
        <v>0</v>
      </c>
      <c r="P340" s="375">
        <f>Standard_DS14_v2_Temp*Quantity_Tenant5_Standard_DS14_v2</f>
        <v>0</v>
      </c>
      <c r="Q340" s="375">
        <f>Standard_DS14_v2_Temp*Quantity_Tenant6_Standard_DS14_v2</f>
        <v>0</v>
      </c>
      <c r="S340" s="492" t="s">
        <v>266</v>
      </c>
      <c r="T340" s="490" t="s">
        <v>156</v>
      </c>
      <c r="U340" s="499"/>
    </row>
    <row r="341" spans="3:21" x14ac:dyDescent="0.25">
      <c r="C341" s="478" t="s">
        <v>268</v>
      </c>
      <c r="D341" s="372">
        <f>Standard_E2_v3_Disk*Quantity_Tenant1_Standard_E2_v3</f>
        <v>0</v>
      </c>
      <c r="E341" s="372">
        <f>Standard_E2_v3_Disk*Quantity_Tenant2_Standard_E2_v3</f>
        <v>0</v>
      </c>
      <c r="F341" s="372">
        <f>Standard_E2_v3_Disk*Quantity_Tenant3_Standard_E2_v3</f>
        <v>0</v>
      </c>
      <c r="G341" s="372">
        <f>Standard_E2_v3_Disk*Quantity_Tenant4_Standard_E2_v3</f>
        <v>0</v>
      </c>
      <c r="H341" s="372">
        <f>Standard_E2_v3_Disk*Quantity_Tenant5_Standard_E2_v3</f>
        <v>0</v>
      </c>
      <c r="I341" s="372">
        <f>Standard_E2_v3_Disk*Quantity_Tenant6_Standard_E2_v3</f>
        <v>0</v>
      </c>
      <c r="K341" s="478" t="s">
        <v>268</v>
      </c>
      <c r="L341" s="372">
        <f>Standard_E2_v3_Temp*Quantity_Tenant1_Standard_E2_v3</f>
        <v>0</v>
      </c>
      <c r="M341" s="372">
        <f>Standard_E2_v3_Temp*Quantity_Tenant2_Standard_E2_v3</f>
        <v>0</v>
      </c>
      <c r="N341" s="372">
        <f>Standard_E2_v3_Temp*Quantity_Tenant3_Standard_E2_v3</f>
        <v>0</v>
      </c>
      <c r="O341" s="372">
        <f>Standard_E2_v3_Temp*Quantity_Tenant4_Standard_E2_v3</f>
        <v>0</v>
      </c>
      <c r="P341" s="372">
        <f>Standard_E2_v3_Temp*Quantity_Tenant5_Standard_E2_v3</f>
        <v>0</v>
      </c>
      <c r="Q341" s="372">
        <f>Standard_E2_v3_Temp*Quantity_Tenant6_Standard_E2_v3</f>
        <v>0</v>
      </c>
      <c r="S341" s="478" t="s">
        <v>268</v>
      </c>
      <c r="T341" s="477" t="s">
        <v>156</v>
      </c>
      <c r="U341" s="499"/>
    </row>
    <row r="342" spans="3:21" x14ac:dyDescent="0.25">
      <c r="C342" s="478" t="s">
        <v>269</v>
      </c>
      <c r="D342" s="372">
        <f>Standard_E4_v3_Disk*Quantity_Tenant1_Standard_E4_v3</f>
        <v>0</v>
      </c>
      <c r="E342" s="372">
        <f>Standard_E4_v3_Disk*Quantity_Tenant2_Standard_E4_v3</f>
        <v>0</v>
      </c>
      <c r="F342" s="372">
        <f>Standard_E4_v3_Disk*Quantity_Tenant3_Standard_E4_v3</f>
        <v>0</v>
      </c>
      <c r="G342" s="372">
        <f>Standard_E4_v3_Disk*Quantity_Tenant4_Standard_E4_v3</f>
        <v>0</v>
      </c>
      <c r="H342" s="372">
        <f>Standard_E4_v3_Disk*Quantity_Tenant5_Standard_E4_v3</f>
        <v>0</v>
      </c>
      <c r="I342" s="372">
        <f>Standard_E4_v3_Disk*Quantity_Tenant6_Standard_E4_v3</f>
        <v>0</v>
      </c>
      <c r="K342" s="478" t="s">
        <v>269</v>
      </c>
      <c r="L342" s="372">
        <f>Standard_E4_v3_Temp*Quantity_Tenant1_Standard_E4_v3</f>
        <v>0</v>
      </c>
      <c r="M342" s="372">
        <f>Standard_E4_v3_Temp*Quantity_Tenant2_Standard_E4_v3</f>
        <v>0</v>
      </c>
      <c r="N342" s="372">
        <f>Standard_E4_v3_Temp*Quantity_Tenant3_Standard_E4_v3</f>
        <v>0</v>
      </c>
      <c r="O342" s="372">
        <f>Standard_E4_v3_Temp*Quantity_Tenant4_Standard_E4_v3</f>
        <v>0</v>
      </c>
      <c r="P342" s="372">
        <f>Standard_E4_v3_Temp*Quantity_Tenant5_Standard_E4_v3</f>
        <v>0</v>
      </c>
      <c r="Q342" s="372">
        <f>Standard_E4_v3_Temp*Quantity_Tenant6_Standard_E4_v3</f>
        <v>0</v>
      </c>
      <c r="S342" s="478" t="s">
        <v>269</v>
      </c>
      <c r="T342" s="477" t="s">
        <v>156</v>
      </c>
      <c r="U342" s="499"/>
    </row>
    <row r="343" spans="3:21" x14ac:dyDescent="0.25">
      <c r="C343" s="478" t="s">
        <v>270</v>
      </c>
      <c r="D343" s="372">
        <f>Standard_E8_v3_Disk*Quantity_Tenant1_Standard_E8_v3</f>
        <v>0</v>
      </c>
      <c r="E343" s="372">
        <f>Standard_E8_v3_Disk*Quantity_Tenant2_Standard_E8_v3</f>
        <v>0</v>
      </c>
      <c r="F343" s="372">
        <f>Standard_E8_v3_Disk*Quantity_Tenant3_Standard_E8_v3</f>
        <v>0</v>
      </c>
      <c r="G343" s="372">
        <f>Standard_E8_v3_Disk*Quantity_Tenant4_Standard_E8_v3</f>
        <v>0</v>
      </c>
      <c r="H343" s="372">
        <f>Standard_E8_v3_Disk*Quantity_Tenant5_Standard_E8_v3</f>
        <v>0</v>
      </c>
      <c r="I343" s="372">
        <f>Standard_E8_v3_Disk*Quantity_Tenant6_Standard_E8_v3</f>
        <v>0</v>
      </c>
      <c r="K343" s="478" t="s">
        <v>270</v>
      </c>
      <c r="L343" s="372">
        <f>Standard_E8_v3_Temp*Quantity_Tenant1_Standard_E8_v3</f>
        <v>0</v>
      </c>
      <c r="M343" s="372">
        <f>Standard_E8_v3_Temp*Quantity_Tenant2_Standard_E8_v3</f>
        <v>0</v>
      </c>
      <c r="N343" s="372">
        <f>Standard_E8_v3_Temp*Quantity_Tenant3_Standard_E8_v3</f>
        <v>0</v>
      </c>
      <c r="O343" s="372">
        <f>Standard_E8_v3_Temp*Quantity_Tenant4_Standard_E8_v3</f>
        <v>0</v>
      </c>
      <c r="P343" s="372">
        <f>Standard_E8_v3_Temp*Quantity_Tenant5_Standard_E8_v3</f>
        <v>0</v>
      </c>
      <c r="Q343" s="372">
        <f>Standard_E8_v3_Temp*Quantity_Tenant6_Standard_E8_v3</f>
        <v>0</v>
      </c>
      <c r="S343" s="478" t="s">
        <v>270</v>
      </c>
      <c r="T343" s="477" t="s">
        <v>156</v>
      </c>
      <c r="U343" s="499"/>
    </row>
    <row r="344" spans="3:21" x14ac:dyDescent="0.25">
      <c r="C344" s="478" t="s">
        <v>271</v>
      </c>
      <c r="D344" s="372">
        <f>Standard_E16_v3_Disk*Quantity_Tenant1_Standard_E16_v3</f>
        <v>0</v>
      </c>
      <c r="E344" s="372">
        <f>Standard_E16_v3_Disk*Quantity_Tenant2_Standard_E16_v3</f>
        <v>0</v>
      </c>
      <c r="F344" s="372">
        <f>Standard_E16_v3_Disk*Quantity_Tenant3_Standard_E16_v3</f>
        <v>0</v>
      </c>
      <c r="G344" s="372">
        <f>Standard_E16_v3_Disk*Quantity_Tenant4_Standard_E16_v3</f>
        <v>0</v>
      </c>
      <c r="H344" s="372">
        <f>Standard_E16_v3_Disk*Quantity_Tenant5_Standard_E16_v3</f>
        <v>0</v>
      </c>
      <c r="I344" s="372">
        <f>Standard_E16_v3_Disk*Quantity_Tenant6_Standard_E16_v3</f>
        <v>0</v>
      </c>
      <c r="K344" s="478" t="s">
        <v>271</v>
      </c>
      <c r="L344" s="372">
        <f>Standard_E16_v3_Temp*Quantity_Tenant1_Standard_E16_v3</f>
        <v>0</v>
      </c>
      <c r="M344" s="372">
        <f>Standard_E16_v3_Temp*Quantity_Tenant2_Standard_E16_v3</f>
        <v>0</v>
      </c>
      <c r="N344" s="372">
        <f>Standard_E16_v3_Temp*Quantity_Tenant3_Standard_E16_v3</f>
        <v>0</v>
      </c>
      <c r="O344" s="372">
        <f>Standard_E16_v3_Temp*Quantity_Tenant4_Standard_E16_v3</f>
        <v>0</v>
      </c>
      <c r="P344" s="372">
        <f>Standard_E16_v3_Temp*Quantity_Tenant5_Standard_E16_v3</f>
        <v>0</v>
      </c>
      <c r="Q344" s="372">
        <f>Standard_E16_v3_Temp*Quantity_Tenant6_Standard_E16_v3</f>
        <v>0</v>
      </c>
      <c r="S344" s="478" t="s">
        <v>271</v>
      </c>
      <c r="T344" s="477" t="s">
        <v>156</v>
      </c>
      <c r="U344" s="499"/>
    </row>
    <row r="345" spans="3:21" x14ac:dyDescent="0.25">
      <c r="C345" s="478" t="s">
        <v>272</v>
      </c>
      <c r="D345" s="372" cm="1">
        <f t="array" ref="D345">Standard_E20_v3_Disk*Quantity_Tenant1_Standard_E20_v3</f>
        <v>0</v>
      </c>
      <c r="E345" s="372">
        <f>Standard_E20_v3_Disk*Quantity_Tenant2_Standard_E20_v3</f>
        <v>0</v>
      </c>
      <c r="F345" s="372">
        <f>Standard_E20_v3_Disk*Quantity_Tenant3_Standard_E20_v3</f>
        <v>0</v>
      </c>
      <c r="G345" s="372">
        <f>Standard_E20_v3_Disk*Quantity_Tenant4_Standard_E20_v3</f>
        <v>0</v>
      </c>
      <c r="H345" s="372">
        <f>Standard_E20_v3_Disk*Quantity_Tenant5_Standard_E20_v3</f>
        <v>0</v>
      </c>
      <c r="I345" s="372">
        <f>Standard_E20_v3_Disk*Quantity_Tenant6_Standard_E20_v3</f>
        <v>0</v>
      </c>
      <c r="K345" s="478" t="s">
        <v>272</v>
      </c>
      <c r="L345" s="372" cm="1">
        <f t="array" ref="L345">Standard_E20_v3_Temp*Quantity_Tenant1_Standard_E20_v3</f>
        <v>0</v>
      </c>
      <c r="M345" s="372">
        <f>Standard_E20_v3_Temp*Quantity_Tenant2_Standard_E20_v3</f>
        <v>0</v>
      </c>
      <c r="N345" s="372">
        <f>Standard_E20_v3_Temp*Quantity_Tenant3_Standard_E20_v3</f>
        <v>0</v>
      </c>
      <c r="O345" s="372">
        <f>Standard_E20_v3_Temp*Quantity_Tenant4_Standard_E20_v3</f>
        <v>0</v>
      </c>
      <c r="P345" s="372">
        <f>Standard_E20_v3_Temp*Quantity_Tenant5_Standard_E20_v3</f>
        <v>0</v>
      </c>
      <c r="Q345" s="372">
        <f>Standard_E20_v3_Temp*Quantity_Tenant6_Standard_E20_v3</f>
        <v>0</v>
      </c>
      <c r="S345" s="478" t="s">
        <v>272</v>
      </c>
      <c r="T345" s="477" t="s">
        <v>156</v>
      </c>
      <c r="U345" s="499"/>
    </row>
    <row r="346" spans="3:21" x14ac:dyDescent="0.25">
      <c r="C346" s="492" t="s">
        <v>275</v>
      </c>
      <c r="D346" s="375">
        <f>Standard_F1_Disk*Quantity_Tenant1_Standard_F1</f>
        <v>0</v>
      </c>
      <c r="E346" s="375">
        <f>Standard_F1_Disk*Quantity_Tenant2_Standard_F1</f>
        <v>0</v>
      </c>
      <c r="F346" s="375">
        <f>Standard_F1_Disk*Quantity_Tenant3_Standard_F1</f>
        <v>0</v>
      </c>
      <c r="G346" s="375">
        <f>Standard_F1_Disk*Quantity_Tenant4_Standard_F1</f>
        <v>0</v>
      </c>
      <c r="H346" s="375">
        <f>Standard_F1_Disk*Quantity_Tenant5_Standard_F1</f>
        <v>0</v>
      </c>
      <c r="I346" s="375">
        <f>Standard_F1_Disk*Quantity_Tenant6_Standard_F1</f>
        <v>0</v>
      </c>
      <c r="K346" s="492" t="s">
        <v>275</v>
      </c>
      <c r="L346" s="375">
        <f>Standard_F1_Temp*Quantity_Tenant1_Standard_F1</f>
        <v>0</v>
      </c>
      <c r="M346" s="375">
        <f>Standard_F1_Temp*Quantity_Tenant2_Standard_F1</f>
        <v>0</v>
      </c>
      <c r="N346" s="375">
        <f>Standard_F1_Temp*Quantity_Tenant3_Standard_F1</f>
        <v>0</v>
      </c>
      <c r="O346" s="375">
        <f>Standard_F1_Temp*Quantity_Tenant4_Standard_F1</f>
        <v>0</v>
      </c>
      <c r="P346" s="375">
        <f>Standard_F1_Temp*Quantity_Tenant5_Standard_F1</f>
        <v>0</v>
      </c>
      <c r="Q346" s="375">
        <f>Standard_F1_Temp*Quantity_Tenant6_Standard_F1</f>
        <v>0</v>
      </c>
      <c r="S346" s="492" t="s">
        <v>275</v>
      </c>
      <c r="T346" s="490" t="s">
        <v>156</v>
      </c>
      <c r="U346" s="499"/>
    </row>
    <row r="347" spans="3:21" x14ac:dyDescent="0.25">
      <c r="C347" s="493" t="s">
        <v>276</v>
      </c>
      <c r="D347" s="222">
        <f>Standard_F2_Disk*Quantity_Tenant1_Standard_F2</f>
        <v>0</v>
      </c>
      <c r="E347" s="222">
        <f>Standard_F2_Disk*Quantity_Tenant2_Standard_F2</f>
        <v>0</v>
      </c>
      <c r="F347" s="222">
        <f>Standard_F2_Disk*Quantity_Tenant3_Standard_F2</f>
        <v>0</v>
      </c>
      <c r="G347" s="222">
        <f>Standard_F2_Disk*Quantity_Tenant4_Standard_F2</f>
        <v>0</v>
      </c>
      <c r="H347" s="222">
        <f>Standard_F2_Disk*Quantity_Tenant5_Standard_F2</f>
        <v>0</v>
      </c>
      <c r="I347" s="222">
        <f>Standard_F2_Disk*Quantity_Tenant6_Standard_F2</f>
        <v>0</v>
      </c>
      <c r="K347" s="493" t="s">
        <v>276</v>
      </c>
      <c r="L347" s="222">
        <f>Standard_F2_Temp*Quantity_Tenant1_Standard_F2</f>
        <v>0</v>
      </c>
      <c r="M347" s="222">
        <f>Standard_F2_Temp*Quantity_Tenant2_Standard_F2</f>
        <v>0</v>
      </c>
      <c r="N347" s="222">
        <f>Standard_F2_Temp*Quantity_Tenant3_Standard_F2</f>
        <v>0</v>
      </c>
      <c r="O347" s="222">
        <f>Standard_F2_Temp*Quantity_Tenant4_Standard_F2</f>
        <v>0</v>
      </c>
      <c r="P347" s="222">
        <f>Standard_F2_Temp*Quantity_Tenant5_Standard_F2</f>
        <v>0</v>
      </c>
      <c r="Q347" s="222">
        <f>Standard_F2_Temp*Quantity_Tenant6_Standard_F2</f>
        <v>0</v>
      </c>
      <c r="S347" s="493" t="s">
        <v>276</v>
      </c>
      <c r="T347" s="490" t="s">
        <v>156</v>
      </c>
      <c r="U347" s="499"/>
    </row>
    <row r="348" spans="3:21" x14ac:dyDescent="0.25">
      <c r="C348" s="492" t="s">
        <v>277</v>
      </c>
      <c r="D348" s="375">
        <f>Standard_F4_Disk*Quantity_Tenant1_Standard_F4</f>
        <v>0</v>
      </c>
      <c r="E348" s="375">
        <f>Standard_F4_Disk*Quantity_Tenant2_Standard_F4</f>
        <v>0</v>
      </c>
      <c r="F348" s="375">
        <f>Standard_F4_Disk*Quantity_Tenant3_Standard_F4</f>
        <v>0</v>
      </c>
      <c r="G348" s="375">
        <f>Standard_F4_Disk*Quantity_Tenant4_Standard_F4</f>
        <v>0</v>
      </c>
      <c r="H348" s="375">
        <f>Standard_F4_Disk*Quantity_Tenant5_Standard_F4</f>
        <v>0</v>
      </c>
      <c r="I348" s="222">
        <f>Standard_F4_Disk*Quantity_Tenant6_Standard_F4</f>
        <v>0</v>
      </c>
      <c r="K348" s="492" t="s">
        <v>277</v>
      </c>
      <c r="L348" s="375">
        <f>Standard_F4_Temp*Quantity_Tenant1_Standard_F4</f>
        <v>0</v>
      </c>
      <c r="M348" s="375">
        <f>Standard_F4_Temp*Quantity_Tenant2_Standard_F4</f>
        <v>0</v>
      </c>
      <c r="N348" s="375">
        <f>Standard_F4_Temp*Quantity_Tenant3_Standard_F4</f>
        <v>0</v>
      </c>
      <c r="O348" s="375">
        <f>Standard_F4_Temp*Quantity_Tenant1_Standard_F4</f>
        <v>0</v>
      </c>
      <c r="P348" s="375">
        <f>Standard_F4_Temp*Quantity_Tenant5_Standard_F4</f>
        <v>0</v>
      </c>
      <c r="Q348" s="222">
        <f>Standard_F4_Temp*Quantity_Tenant6_Standard_F4</f>
        <v>0</v>
      </c>
      <c r="S348" s="492" t="s">
        <v>277</v>
      </c>
      <c r="T348" s="490" t="s">
        <v>156</v>
      </c>
      <c r="U348" s="499"/>
    </row>
    <row r="349" spans="3:21" x14ac:dyDescent="0.25">
      <c r="C349" s="492" t="s">
        <v>278</v>
      </c>
      <c r="D349" s="375">
        <f>Standard_F8_Disk*Quantity_Tenant1_Standard_F8</f>
        <v>0</v>
      </c>
      <c r="E349" s="375">
        <f>Standard_F8_Disk*Quantity_Tenant2_Standard_F8</f>
        <v>0</v>
      </c>
      <c r="F349" s="375">
        <f>Standard_F8_Disk*Quantity_Tenant3_Standard_F8</f>
        <v>0</v>
      </c>
      <c r="G349" s="375">
        <f>Standard_F8_Disk*Quantity_Tenant4_Standard_F8</f>
        <v>0</v>
      </c>
      <c r="H349" s="375">
        <f>Standard_F8_Disk*Quantity_Tenant5_Standard_F8</f>
        <v>0</v>
      </c>
      <c r="I349" s="375">
        <f>Standard_F8_Disk*Quantity_Tenant6_Standard_F8</f>
        <v>0</v>
      </c>
      <c r="K349" s="492" t="s">
        <v>278</v>
      </c>
      <c r="L349" s="375">
        <f>Standard_F8_Temp*Quantity_Tenant1_Standard_F8</f>
        <v>0</v>
      </c>
      <c r="M349" s="375">
        <f>Standard_F8_Temp*Quantity_Tenant2_Standard_F8</f>
        <v>0</v>
      </c>
      <c r="N349" s="375">
        <f>Standard_F8_Temp*Quantity_Tenant3_Standard_F8</f>
        <v>0</v>
      </c>
      <c r="O349" s="375">
        <f>Standard_F8_Temp*Quantity_Tenant4_Standard_F8</f>
        <v>0</v>
      </c>
      <c r="P349" s="375">
        <f>Standard_F8_Temp*Quantity_Tenant5_Standard_F8</f>
        <v>0</v>
      </c>
      <c r="Q349" s="375">
        <f>Standard_F8_Temp*Quantity_Tenant6_Standard_F8</f>
        <v>0</v>
      </c>
      <c r="S349" s="492" t="s">
        <v>278</v>
      </c>
      <c r="T349" s="490" t="s">
        <v>156</v>
      </c>
      <c r="U349" s="499"/>
    </row>
    <row r="350" spans="3:21" x14ac:dyDescent="0.25">
      <c r="C350" s="493" t="s">
        <v>279</v>
      </c>
      <c r="D350" s="222">
        <f>Standard_F16_Disk*Quantity_Tenant1_Standard_F16</f>
        <v>0</v>
      </c>
      <c r="E350" s="222">
        <f>Standard_F16_Disk*Quantity_Tenant2_Standard_F16</f>
        <v>0</v>
      </c>
      <c r="F350" s="222">
        <f>Standard_F16_Disk*Quantity_Tenant3_Standard_F16</f>
        <v>0</v>
      </c>
      <c r="G350" s="222">
        <f>Standard_F16_Disk*Quantity_Tenant4_Standard_F16</f>
        <v>0</v>
      </c>
      <c r="H350" s="222">
        <f>Standard_F16_Disk*Quantity_Tenant5_Standard_F16</f>
        <v>0</v>
      </c>
      <c r="I350" s="222">
        <f>Standard_F16_Disk*Quantity_Tenant6_Standard_F16</f>
        <v>0</v>
      </c>
      <c r="K350" s="493" t="s">
        <v>279</v>
      </c>
      <c r="L350" s="222">
        <f>Standard_F16_Temp*Quantity_Tenant1_Standard_F16</f>
        <v>0</v>
      </c>
      <c r="M350" s="222">
        <f>Standard_F16_Temp*Quantity_Tenant2_Standard_F16</f>
        <v>0</v>
      </c>
      <c r="N350" s="222">
        <f>Standard_F16_Temp*Quantity_Tenant3_Standard_F16</f>
        <v>0</v>
      </c>
      <c r="O350" s="222">
        <f>Standard_F16_Temp*Quantity_Tenant4_Standard_F16</f>
        <v>0</v>
      </c>
      <c r="P350" s="222">
        <f>Standard_F16_Temp*Quantity_Tenant5_Standard_F16</f>
        <v>0</v>
      </c>
      <c r="Q350" s="222">
        <f>Standard_F16_Temp*Quantity_Tenant6_Standard_F16</f>
        <v>0</v>
      </c>
      <c r="S350" s="493" t="s">
        <v>279</v>
      </c>
      <c r="T350" s="490" t="s">
        <v>156</v>
      </c>
      <c r="U350" s="499"/>
    </row>
    <row r="351" spans="3:21" x14ac:dyDescent="0.25">
      <c r="C351" s="479" t="s">
        <v>281</v>
      </c>
      <c r="D351" s="373">
        <f>Standard_F1s_Disk*Quantity_Tenant1_Standard_F1s</f>
        <v>0</v>
      </c>
      <c r="E351" s="373">
        <f>Standard_F1s_Disk*Quantity_Tenant2_Standard_F1s</f>
        <v>0</v>
      </c>
      <c r="F351" s="373">
        <f>Standard_F1s_Disk*Quantity_Tenant3_Standard_F1s</f>
        <v>0</v>
      </c>
      <c r="G351" s="373">
        <f>Standard_F1s_Disk*Quantity_Tenant4_Standard_F1s</f>
        <v>0</v>
      </c>
      <c r="H351" s="373">
        <f>Standard_F1s_Disk*Quantity_Tenant5_Standard_F1s</f>
        <v>0</v>
      </c>
      <c r="I351" s="373">
        <f>Standard_F1s_Disk*Quantity_Tenant6_Standard_F1s</f>
        <v>0</v>
      </c>
      <c r="K351" s="479" t="s">
        <v>281</v>
      </c>
      <c r="L351" s="373">
        <f>Standard_F1s_Temp*Quantity_Tenant1_Standard_F1s</f>
        <v>0</v>
      </c>
      <c r="M351" s="373">
        <f>Standard_F1s_Temp*Quantity_Tenant2_Standard_F1s</f>
        <v>0</v>
      </c>
      <c r="N351" s="373">
        <f>Standard_F1s_Temp*Quantity_Tenant3_Standard_F1s</f>
        <v>0</v>
      </c>
      <c r="O351" s="373">
        <f>Standard_F1s_Temp*Quantity_Tenant4_Standard_F1s</f>
        <v>0</v>
      </c>
      <c r="P351" s="373">
        <f>Standard_F1s_Temp*Quantity_Tenant5_Standard_F1s</f>
        <v>0</v>
      </c>
      <c r="Q351" s="373">
        <f>Standard_F1s_Temp*Quantity_Tenant6_Standard_F1s</f>
        <v>0</v>
      </c>
      <c r="S351" s="479" t="s">
        <v>281</v>
      </c>
      <c r="T351" s="481" t="s">
        <v>156</v>
      </c>
      <c r="U351" s="499"/>
    </row>
    <row r="352" spans="3:21" x14ac:dyDescent="0.25">
      <c r="C352" s="479" t="s">
        <v>282</v>
      </c>
      <c r="D352" s="373">
        <f>Standard_F2s_Disk*Quantity_Tenant1_Standard_F2s</f>
        <v>0</v>
      </c>
      <c r="E352" s="373">
        <f>Standard_F2s_Disk*Quantity_Tenant2_Standard_F2s</f>
        <v>0</v>
      </c>
      <c r="F352" s="373">
        <f>Standard_F2s_Disk*Quantity_Tenant3_Standard_F2s</f>
        <v>0</v>
      </c>
      <c r="G352" s="373">
        <f>Standard_F2s_Disk*Quantity_Tenant4_Standard_F2s</f>
        <v>0</v>
      </c>
      <c r="H352" s="373">
        <f>Standard_F2s_Disk*Quantity_Tenant5_Standard_F2s</f>
        <v>0</v>
      </c>
      <c r="I352" s="373">
        <f>Standard_F2s_Disk*Quantity_Tenant6_Standard_F2s</f>
        <v>0</v>
      </c>
      <c r="K352" s="479" t="s">
        <v>282</v>
      </c>
      <c r="L352" s="373">
        <f>Standard_F2s_Temp*Quantity_Tenant1_Standard_F2s</f>
        <v>0</v>
      </c>
      <c r="M352" s="373">
        <f>Standard_F2s_Temp*Quantity_Tenant2_Standard_F2s</f>
        <v>0</v>
      </c>
      <c r="N352" s="373">
        <f>Standard_F2s_Temp*Quantity_Tenant3_Standard_F2s</f>
        <v>0</v>
      </c>
      <c r="O352" s="373">
        <f>Standard_F2s_Temp*Quantity_Tenant4_Standard_F2s</f>
        <v>0</v>
      </c>
      <c r="P352" s="373">
        <f>Standard_F2s_Temp*Quantity_Tenant5_Standard_F2s</f>
        <v>0</v>
      </c>
      <c r="Q352" s="373">
        <f>Standard_F2s_Temp*Quantity_Tenant6_Standard_F2s</f>
        <v>0</v>
      </c>
      <c r="S352" s="479" t="s">
        <v>282</v>
      </c>
      <c r="T352" s="481" t="s">
        <v>156</v>
      </c>
      <c r="U352" s="499"/>
    </row>
    <row r="353" spans="3:21" x14ac:dyDescent="0.25">
      <c r="C353" s="479" t="s">
        <v>283</v>
      </c>
      <c r="D353" s="373">
        <f>Standard_F4s_Disk*Quantity_Tenant1_Standard_F4s</f>
        <v>0</v>
      </c>
      <c r="E353" s="373">
        <f>Standard_F4s_Disk*Quantity_Tenant2_Standard_F4s</f>
        <v>0</v>
      </c>
      <c r="F353" s="373">
        <f>Standard_F4s_Disk*Quantity_Tenant3_Standard_F4s</f>
        <v>0</v>
      </c>
      <c r="G353" s="373">
        <f>Standard_F4s_Disk*Quantity_Tenant4_Standard_F4s</f>
        <v>0</v>
      </c>
      <c r="H353" s="373">
        <f>Standard_F4s_Disk*Quantity_Tenant5_Standard_F4s</f>
        <v>0</v>
      </c>
      <c r="I353" s="373">
        <f>Standard_F4s_Disk*Quantity_Tenant6_Standard_F4s</f>
        <v>0</v>
      </c>
      <c r="K353" s="479" t="s">
        <v>283</v>
      </c>
      <c r="L353" s="373">
        <f>Standard_F4s_Temp*Quantity_Tenant1_Standard_F4s</f>
        <v>0</v>
      </c>
      <c r="M353" s="373">
        <f>Standard_F4s_Temp*Quantity_Tenant2_Standard_F4s</f>
        <v>0</v>
      </c>
      <c r="N353" s="373">
        <f>Standard_F4s_Temp*Quantity_Tenant3_Standard_F4s</f>
        <v>0</v>
      </c>
      <c r="O353" s="373">
        <f>Standard_F4s_Temp*Quantity_Tenant4_Standard_F4s</f>
        <v>0</v>
      </c>
      <c r="P353" s="373">
        <f>Standard_F4s_Temp*Quantity_Tenant5_Standard_F4s</f>
        <v>0</v>
      </c>
      <c r="Q353" s="373">
        <f>Standard_F4s_Temp*Quantity_Tenant6_Standard_F4s</f>
        <v>0</v>
      </c>
      <c r="S353" s="479" t="s">
        <v>283</v>
      </c>
      <c r="T353" s="481" t="s">
        <v>156</v>
      </c>
      <c r="U353" s="499"/>
    </row>
    <row r="354" spans="3:21" x14ac:dyDescent="0.25">
      <c r="C354" s="479" t="s">
        <v>284</v>
      </c>
      <c r="D354" s="373">
        <f>Standard_F8s_Disk*Quantity_Tenant1_Standard_F8s</f>
        <v>0</v>
      </c>
      <c r="E354" s="373">
        <f>Standard_F8s_Disk*Quantity_Tenant2_Standard_F8s</f>
        <v>0</v>
      </c>
      <c r="F354" s="373">
        <f>Standard_F8s_Disk*Quantity_Tenant3_Standard_F8s</f>
        <v>0</v>
      </c>
      <c r="G354" s="373">
        <f>Standard_F8s_Disk*Quantity_Tenant4_Standard_F8s</f>
        <v>0</v>
      </c>
      <c r="H354" s="373">
        <f>Standard_F8s_Disk*Quantity_Tenant5_Standard_F8s</f>
        <v>0</v>
      </c>
      <c r="I354" s="373">
        <f>Standard_F8s_Disk*Quantity_Tenant6_Standard_F8s</f>
        <v>0</v>
      </c>
      <c r="K354" s="479" t="s">
        <v>284</v>
      </c>
      <c r="L354" s="373">
        <f>Standard_F8s_Temp*Quantity_Tenant1_Standard_F8s</f>
        <v>0</v>
      </c>
      <c r="M354" s="373">
        <f>Standard_F8s_Temp*Quantity_Tenant2_Standard_F8s</f>
        <v>0</v>
      </c>
      <c r="N354" s="373">
        <f>Standard_F8s_Temp*Quantity_Tenant3_Standard_F8s</f>
        <v>0</v>
      </c>
      <c r="O354" s="373">
        <f>Standard_F8s_Temp*Quantity_Tenant4_Standard_F8s</f>
        <v>0</v>
      </c>
      <c r="P354" s="373">
        <f>Standard_F8s_Temp*Quantity_Tenant5_Standard_F8s</f>
        <v>0</v>
      </c>
      <c r="Q354" s="373">
        <f>Standard_F8s_Temp*Quantity_Tenant6_Standard_F8s</f>
        <v>0</v>
      </c>
      <c r="S354" s="479" t="s">
        <v>284</v>
      </c>
      <c r="T354" s="481" t="s">
        <v>156</v>
      </c>
      <c r="U354" s="499"/>
    </row>
    <row r="355" spans="3:21" x14ac:dyDescent="0.25">
      <c r="C355" s="479" t="s">
        <v>285</v>
      </c>
      <c r="D355" s="373">
        <f>Standard_F16s_Disk*Quantity_Tenant1_Standard_F16s</f>
        <v>0</v>
      </c>
      <c r="E355" s="373">
        <f>Standard_F16s_Disk*Quantity_Tenant2_Standard_F16s</f>
        <v>0</v>
      </c>
      <c r="F355" s="373">
        <f>Standard_F16s_Disk*Quantity_Tenant3_Standard_F16s</f>
        <v>0</v>
      </c>
      <c r="G355" s="373">
        <f>Standard_F16s_Disk*Quantity_Tenant4_Standard_F16s</f>
        <v>0</v>
      </c>
      <c r="H355" s="373">
        <f>Standard_F16s_Disk*Quantity_Tenant5_Standard_F16s</f>
        <v>0</v>
      </c>
      <c r="I355" s="373">
        <f>Standard_F16s_Disk*Quantity_Tenant6_Standard_F16s</f>
        <v>0</v>
      </c>
      <c r="K355" s="479" t="s">
        <v>285</v>
      </c>
      <c r="L355" s="373">
        <f>Standard_F16s_Temp*Quantity_Tenant1_Standard_F16s</f>
        <v>0</v>
      </c>
      <c r="M355" s="373">
        <f>Standard_F16s_Temp*Quantity_Tenant2_Standard_F16s</f>
        <v>0</v>
      </c>
      <c r="N355" s="373">
        <f>Standard_F16s_Temp*Quantity_Tenant3_Standard_F16s</f>
        <v>0</v>
      </c>
      <c r="O355" s="373">
        <f>Standard_F16s_Temp*Quantity_Tenant4_Standard_F16s</f>
        <v>0</v>
      </c>
      <c r="P355" s="373">
        <f>Standard_F16s_Temp*Quantity_Tenant5_Standard_F16s</f>
        <v>0</v>
      </c>
      <c r="Q355" s="373">
        <f>Standard_F16s_Temp*Quantity_Tenant6_Standard_F16s</f>
        <v>0</v>
      </c>
      <c r="S355" s="479" t="s">
        <v>285</v>
      </c>
      <c r="T355" s="481" t="s">
        <v>156</v>
      </c>
      <c r="U355" s="499"/>
    </row>
    <row r="356" spans="3:21" x14ac:dyDescent="0.25">
      <c r="C356" s="483" t="s">
        <v>287</v>
      </c>
      <c r="D356" s="374">
        <f>Standard_F2s_v2_Disk*Quantity_Tenant1_Standard_F2s_v2</f>
        <v>0</v>
      </c>
      <c r="E356" s="374">
        <f>Standard_F2s_v2_Disk*Quantity_Tenant2_Standard_F2s_v2</f>
        <v>0</v>
      </c>
      <c r="F356" s="374">
        <f>Standard_F2s_v2_Disk*Quantity_Tenant3_Standard_F2s_v2</f>
        <v>0</v>
      </c>
      <c r="G356" s="374">
        <f>Standard_F2s_v2_Disk*Quantity_Tenant4_Standard_F2s_v2</f>
        <v>0</v>
      </c>
      <c r="H356" s="374">
        <f>Standard_F2s_v2_Disk*Quantity_Tenant5_Standard_F2s_v2</f>
        <v>0</v>
      </c>
      <c r="I356" s="374">
        <f>Standard_F2s_v2_Disk*Quantity_Tenant6_Standard_F2s_v2</f>
        <v>0</v>
      </c>
      <c r="K356" s="483" t="s">
        <v>287</v>
      </c>
      <c r="L356" s="374">
        <f>Standard_F2s_v2_Temp*Quantity_Tenant1_Standard_F2s_v2</f>
        <v>0</v>
      </c>
      <c r="M356" s="374">
        <f>Standard_F2s_v2_Temp*Quantity_Tenant2_Standard_F2s_v2</f>
        <v>0</v>
      </c>
      <c r="N356" s="374">
        <f>Standard_F2s_v2_Temp*Quantity_Tenant3_Standard_F2s_v2</f>
        <v>0</v>
      </c>
      <c r="O356" s="374">
        <f>Standard_F2s_v2_Temp*Quantity_Tenant4_Standard_F2s_v2</f>
        <v>0</v>
      </c>
      <c r="P356" s="374">
        <f>Standard_F2s_v2_Temp*Quantity_Tenant5_Standard_F2s_v2</f>
        <v>0</v>
      </c>
      <c r="Q356" s="374">
        <f>Standard_F2s_v2_Temp*Quantity_Tenant6_Standard_F2s_v2</f>
        <v>0</v>
      </c>
      <c r="S356" s="483" t="s">
        <v>287</v>
      </c>
      <c r="T356" s="488" t="s">
        <v>156</v>
      </c>
      <c r="U356" s="499"/>
    </row>
    <row r="357" spans="3:21" x14ac:dyDescent="0.25">
      <c r="C357" s="483" t="s">
        <v>288</v>
      </c>
      <c r="D357" s="374">
        <f>Standard_F4s_v2_Disk*Quantity_Tenant1_Standard_F4s_v2</f>
        <v>0</v>
      </c>
      <c r="E357" s="374">
        <f>Standard_F4s_v2_Disk*Quantity_Tenant2_Standard_F4s_v2</f>
        <v>0</v>
      </c>
      <c r="F357" s="374">
        <f>Standard_F4s_v2_Disk*Quantity_Tenant3_Standard_F4s_v2</f>
        <v>0</v>
      </c>
      <c r="G357" s="374">
        <f>Standard_F4s_v2_Disk*Quantity_Tenant4_Standard_F4s_v2</f>
        <v>0</v>
      </c>
      <c r="H357" s="374">
        <f>Standard_F4s_v2_Disk*Quantity_Tenant5_Standard_F4s_v2</f>
        <v>0</v>
      </c>
      <c r="I357" s="374">
        <f>Standard_F4s_v2_Disk*Quantity_Tenant6_Standard_F4s_v2</f>
        <v>0</v>
      </c>
      <c r="K357" s="483" t="s">
        <v>288</v>
      </c>
      <c r="L357" s="374">
        <f>Standard_F4s_v2_Temp*Quantity_Tenant1_Standard_F4s_v2</f>
        <v>0</v>
      </c>
      <c r="M357" s="374">
        <f>Standard_F4s_v2_Temp*Quantity_Tenant2_Standard_F4s_v2</f>
        <v>0</v>
      </c>
      <c r="N357" s="374">
        <f>Standard_F4s_v2_Temp*Quantity_Tenant3_Standard_F4s_v2</f>
        <v>0</v>
      </c>
      <c r="O357" s="374">
        <f>Standard_F4s_v2_Temp*Quantity_Tenant4_Standard_F4s_v2</f>
        <v>0</v>
      </c>
      <c r="P357" s="374">
        <f>Standard_F4s_v2_Temp*Quantity_Tenant5_Standard_F4s_v2</f>
        <v>0</v>
      </c>
      <c r="Q357" s="374">
        <f>Standard_F4s_v2_Temp*Quantity_Tenant6_Standard_F4s_v2</f>
        <v>0</v>
      </c>
      <c r="S357" s="483" t="s">
        <v>288</v>
      </c>
      <c r="T357" s="488" t="s">
        <v>156</v>
      </c>
      <c r="U357" s="499"/>
    </row>
    <row r="358" spans="3:21" x14ac:dyDescent="0.25">
      <c r="C358" s="483" t="s">
        <v>289</v>
      </c>
      <c r="D358" s="374">
        <f>Standard_F16s_v2_Disk*Quantity_Tenant1_Standard_F16s_v2</f>
        <v>0</v>
      </c>
      <c r="E358" s="374">
        <f>Standard_F16s_v2_Disk*Quantity_Tenant2_Standard_F16s_v2</f>
        <v>0</v>
      </c>
      <c r="F358" s="374">
        <f>Standard_F16s_v2_Disk*Quantity_Tenant3_Standard_F16s_v2</f>
        <v>0</v>
      </c>
      <c r="G358" s="374">
        <f>Standard_F16s_v2_Disk*Quantity_Tenant4_Standard_F16s_v2</f>
        <v>0</v>
      </c>
      <c r="H358" s="374">
        <f>Standard_F16s_v2_Disk*Quantity_Tenant5_Standard_F16s_v2</f>
        <v>0</v>
      </c>
      <c r="I358" s="374">
        <f>Standard_F16s_v2_Disk*Quantity_Tenant6_Standard_F16s_v2</f>
        <v>0</v>
      </c>
      <c r="K358" s="483" t="s">
        <v>289</v>
      </c>
      <c r="L358" s="374">
        <f>Standard_F16s_v2_Temp*Quantity_Tenant1_Standard_F16s_v2</f>
        <v>0</v>
      </c>
      <c r="M358" s="374">
        <f>Standard_F16s_v2_Temp*Quantity_Tenant2_Standard_F16s_v2</f>
        <v>0</v>
      </c>
      <c r="N358" s="374">
        <f>Standard_F16s_v2_Temp*Quantity_Tenant3_Standard_F16s_v2</f>
        <v>0</v>
      </c>
      <c r="O358" s="374">
        <f>Standard_F16s_v2_Temp*Quantity_Tenant4_Standard_F16s_v2</f>
        <v>0</v>
      </c>
      <c r="P358" s="374">
        <f>Standard_F16s_v2_Temp*Quantity_Tenant5_Standard_F16s_v2</f>
        <v>0</v>
      </c>
      <c r="Q358" s="374">
        <f>Standard_F16s_v2_Temp*Quantity_Tenant6_Standard_F16s_v2</f>
        <v>0</v>
      </c>
      <c r="S358" s="483" t="s">
        <v>289</v>
      </c>
      <c r="T358" s="488" t="s">
        <v>156</v>
      </c>
      <c r="U358" s="499"/>
    </row>
    <row r="359" spans="3:21" x14ac:dyDescent="0.25">
      <c r="C359" s="483" t="s">
        <v>290</v>
      </c>
      <c r="D359" s="374">
        <f>Standard_F16s_v2_Disk*Quantity_Tenant1_Standard_F16s_v2</f>
        <v>0</v>
      </c>
      <c r="E359" s="374">
        <f>Standard_F16s_v2_Disk*Quantity_Tenant2_Standard_F16s_v2</f>
        <v>0</v>
      </c>
      <c r="F359" s="374">
        <f>Standard_F16s_v2_Disk*Quantity_Tenant3_Standard_F16s_v2</f>
        <v>0</v>
      </c>
      <c r="G359" s="374">
        <f>Standard_F16s_v2_Disk*Quantity_Tenant4_Standard_F16s_v2</f>
        <v>0</v>
      </c>
      <c r="H359" s="374">
        <f>Standard_F16s_v2_Disk*Quantity_Tenant5_Standard_F16s_v2</f>
        <v>0</v>
      </c>
      <c r="I359" s="374">
        <f>Standard_F16s_v2_Disk*Quantity_Tenant6_Standard_F16s_v2</f>
        <v>0</v>
      </c>
      <c r="K359" s="483" t="s">
        <v>290</v>
      </c>
      <c r="L359" s="374">
        <f>Standard_F16s_v2_Temp*Quantity_Tenant1_Standard_F16s_v2</f>
        <v>0</v>
      </c>
      <c r="M359" s="374">
        <f>Standard_F16s_v2_Temp*Quantity_Tenant2_Standard_F16s_v2</f>
        <v>0</v>
      </c>
      <c r="N359" s="374">
        <f>Standard_F16s_v2_Temp*Quantity_Tenant3_Standard_F16s_v2</f>
        <v>0</v>
      </c>
      <c r="O359" s="374">
        <f>Standard_F16s_v2_Temp*Quantity_Tenant4_Standard_F16s_v2</f>
        <v>0</v>
      </c>
      <c r="P359" s="374">
        <f>Standard_F16s_v2_Temp*Quantity_Tenant5_Standard_F16s_v2</f>
        <v>0</v>
      </c>
      <c r="Q359" s="374">
        <f>Standard_F16s_v2_Temp*Quantity_Tenant6_Standard_F16s_v2</f>
        <v>0</v>
      </c>
      <c r="S359" s="483" t="s">
        <v>290</v>
      </c>
      <c r="T359" s="488" t="s">
        <v>156</v>
      </c>
      <c r="U359" s="499"/>
    </row>
    <row r="360" spans="3:21" x14ac:dyDescent="0.25">
      <c r="C360" s="483" t="s">
        <v>291</v>
      </c>
      <c r="D360" s="374">
        <f>Standard_F32s_v2_Disk*Quantity_Tenant1_Standard_F32s_v2</f>
        <v>0</v>
      </c>
      <c r="E360" s="374">
        <f>Standard_F32s_v2_Disk*Quantity_Tenant2_Standard_F32s_v2</f>
        <v>0</v>
      </c>
      <c r="F360" s="374">
        <f>Standard_F32s_v2_Disk*Quantity_Tenant3_Standard_F32s_v2</f>
        <v>0</v>
      </c>
      <c r="G360" s="374">
        <f>Standard_F32s_v2_Disk*Quantity_Tenant4_Standard_F32s_v2</f>
        <v>0</v>
      </c>
      <c r="H360" s="374">
        <f>Standard_F32s_v2_Disk*Quantity_Tenant5_Standard_F32s_v2</f>
        <v>0</v>
      </c>
      <c r="I360" s="374">
        <f>Standard_F32s_v2_Disk*Quantity_Tenant6_Standard_F32s_v2</f>
        <v>0</v>
      </c>
      <c r="K360" s="483" t="s">
        <v>291</v>
      </c>
      <c r="L360" s="374">
        <f>Standard_F32s_v2_Temp*Quantity_Tenant1_Standard_F32s_v2</f>
        <v>0</v>
      </c>
      <c r="M360" s="374">
        <f>Standard_F32s_v2_Temp*Quantity_Tenant2_Standard_F32s_v2</f>
        <v>0</v>
      </c>
      <c r="N360" s="374">
        <f>Standard_F32s_v2_Temp*Quantity_Tenant3_Standard_F32s_v2</f>
        <v>0</v>
      </c>
      <c r="O360" s="374">
        <f>Standard_F32s_v2_Temp*Quantity_Tenant4_Standard_F32s_v2</f>
        <v>0</v>
      </c>
      <c r="P360" s="374">
        <f>Standard_F32s_v2_Temp*Quantity_Tenant5_Standard_F32s_v2</f>
        <v>0</v>
      </c>
      <c r="Q360" s="374">
        <f>Standard_F32s_v2_Temp*Quantity_Tenant6_Standard_F32s_v2</f>
        <v>0</v>
      </c>
      <c r="S360" s="483" t="s">
        <v>291</v>
      </c>
      <c r="T360" s="488" t="s">
        <v>156</v>
      </c>
      <c r="U360" s="499"/>
    </row>
    <row r="361" spans="3:21" x14ac:dyDescent="0.25">
      <c r="C361" s="483" t="s">
        <v>292</v>
      </c>
      <c r="D361" s="374">
        <f>Standard_F64s_v2_Disk*Quantity_Tenant1_Standard_F64s_v2</f>
        <v>0</v>
      </c>
      <c r="E361" s="374">
        <f>Standard_F64s_v2_Disk*Quantity_Tenant2_Standard_F64s_v2</f>
        <v>0</v>
      </c>
      <c r="F361" s="374">
        <f>Standard_F64s_v2_Disk*Quantity_Tenant3_Standard_F64s_v2</f>
        <v>0</v>
      </c>
      <c r="G361" s="374">
        <f>Standard_F64s_v2_Disk*Quantity_Tenant4_Standard_F64s_v2</f>
        <v>0</v>
      </c>
      <c r="H361" s="374">
        <f>Standard_F64s_v2_Disk*Quantity_Tenant5_Standard_F64s_v2</f>
        <v>0</v>
      </c>
      <c r="I361" s="374">
        <f>Standard_F64s_v2_Disk*Quantity_Tenant6_Standard_F64s_v2</f>
        <v>0</v>
      </c>
      <c r="K361" s="483" t="s">
        <v>292</v>
      </c>
      <c r="L361" s="374">
        <f>Standard_F64s_v2_Temp*Quantity_Tenant1_Standard_F64s_v2</f>
        <v>0</v>
      </c>
      <c r="M361" s="374">
        <f>Standard_F64s_v2_Temp*Quantity_Tenant2_Standard_F64s_v2</f>
        <v>0</v>
      </c>
      <c r="N361" s="374">
        <f>Standard_F64s_v2_Temp*Quantity_Tenant3_Standard_F64s_v2</f>
        <v>0</v>
      </c>
      <c r="O361" s="374">
        <f>Standard_F64s_v2_Temp*Quantity_Tenant4_Standard_F64s_v2</f>
        <v>0</v>
      </c>
      <c r="P361" s="374">
        <f>Standard_F64s_v2_Temp*Quantity_Tenant5_Standard_F64s_v2</f>
        <v>0</v>
      </c>
      <c r="Q361" s="374">
        <f>Standard_F64s_v2_Temp*Quantity_Tenant6_Standard_F64s_v2</f>
        <v>0</v>
      </c>
      <c r="S361" s="483" t="s">
        <v>292</v>
      </c>
      <c r="T361" s="488" t="s">
        <v>156</v>
      </c>
      <c r="U361" s="499"/>
    </row>
    <row r="362" spans="3:21" x14ac:dyDescent="0.25">
      <c r="C362" s="422" t="s">
        <v>295</v>
      </c>
      <c r="D362" s="372">
        <f>Standard_NC6s_v3_Disk*Quantity_Tenant1_Standard_NC6s_v3</f>
        <v>0</v>
      </c>
      <c r="E362" s="372">
        <f>Standard_NC6s_v3_Disk*Quantity_Tenant2_Standard_NC6s_v3</f>
        <v>0</v>
      </c>
      <c r="F362" s="372">
        <f>Standard_NC6s_v3_Disk*Quantity_Tenant3_Standard_NC6s_v3</f>
        <v>0</v>
      </c>
      <c r="G362" s="372">
        <f>Standard_NC6s_v3_Disk*Quantity_Tenant4_Standard_NC6s_v3</f>
        <v>0</v>
      </c>
      <c r="H362" s="372">
        <f>Standard_NC6s_v3_Disk*Quantity_Tenant5_Standard_NC6s_v3</f>
        <v>0</v>
      </c>
      <c r="I362" s="372">
        <f>IF(AND(GPUTypeSelected="true",NVIDIA_v100_SelectionType="true"),Standard_NC6s_v3_Disk*Quantity_Tenant6_Standard_NC6s_v3,0)</f>
        <v>0</v>
      </c>
      <c r="K362" s="422" t="s">
        <v>295</v>
      </c>
      <c r="L362" s="372">
        <f>Standard_NC6s_v3_Temp*Quantity_Tenant1_Standard_NC6s_v3</f>
        <v>0</v>
      </c>
      <c r="M362" s="372">
        <f>Standard_NC6s_v3_Temp*Quantity_Tenant2_Standard_NC6s_v3</f>
        <v>0</v>
      </c>
      <c r="N362" s="372">
        <f>Standard_NC6s_v3_Temp*Quantity_Tenant3_Standard_NC6s_v3</f>
        <v>0</v>
      </c>
      <c r="O362" s="372">
        <f>Standard_NC6s_v3_Temp*Quantity_Tenant4_Standard_NC6s_v3</f>
        <v>0</v>
      </c>
      <c r="P362" s="372">
        <f>Standard_NC6s_v3_Temp*Quantity_Tenant5_Standard_NC6s_v3</f>
        <v>0</v>
      </c>
      <c r="Q362" s="372">
        <f>IF(AND(GPUTypeSelected="true",NVIDIA_v100_SelectionType="true"),Standard_NC6s_v3_Temp*Quantity_Tenant6_Standard_NC6s_v3,0)</f>
        <v>0</v>
      </c>
      <c r="S362" s="422" t="s">
        <v>295</v>
      </c>
      <c r="T362" s="372">
        <f>IF(AND(GPUTypeSelected="true",NVIDIA_v100_SelectionType="true"),Standard_NC6s_v3_GPU*Quantity_Tenant6_Standard_NC6s_v3,0)</f>
        <v>0</v>
      </c>
      <c r="U362" s="500"/>
    </row>
    <row r="363" spans="3:21" x14ac:dyDescent="0.25">
      <c r="C363" s="422" t="s">
        <v>297</v>
      </c>
      <c r="D363" s="372">
        <f>Standard_NC12s_v3_Disk*Quantity_Tenant1_Standard_NC12s_v3</f>
        <v>0</v>
      </c>
      <c r="E363" s="372">
        <f>Standard_NC12s_v3_Disk*Quantity_Tenant2_Standard_NC12s_v3</f>
        <v>0</v>
      </c>
      <c r="F363" s="372">
        <f>Standard_NC12s_v3_Disk*Quantity_Tenant3_Standard_NC12s_v3</f>
        <v>0</v>
      </c>
      <c r="G363" s="372">
        <f>Standard_NC12s_v3_Disk*Quantity_Tenant4_Standard_NC12s_v3</f>
        <v>0</v>
      </c>
      <c r="H363" s="372">
        <f>Standard_NC12s_v3_Disk*Quantity_Tenant5_Standard_NC12s_v3</f>
        <v>0</v>
      </c>
      <c r="I363" s="372">
        <f>IF(AND(GPUTypeSelected="true",NVIDIA_v100_SelectionType="true"),Standard_NC12s_v3_Disk*Quantity_Tenant6_Standard_NC12s_v3,0)</f>
        <v>0</v>
      </c>
      <c r="K363" s="422" t="s">
        <v>297</v>
      </c>
      <c r="L363" s="372">
        <f>Standard_NC12s_v3_Temp*Quantity_Tenant1_Standard_NC12s_v3</f>
        <v>0</v>
      </c>
      <c r="M363" s="372">
        <f>Standard_NC12s_v3_Temp*Quantity_Tenant2_Standard_NC12s_v3</f>
        <v>0</v>
      </c>
      <c r="N363" s="372">
        <f>Standard_NC12s_v3_Temp*Quantity_Tenant3_Standard_NC12s_v3</f>
        <v>0</v>
      </c>
      <c r="O363" s="372">
        <f>Standard_NC12s_v3_Temp*Quantity_Tenant4_Standard_NC12s_v3</f>
        <v>0</v>
      </c>
      <c r="P363" s="372">
        <f>Standard_NC12s_v3_Temp*Quantity_Tenant5_Standard_NC12s_v3</f>
        <v>0</v>
      </c>
      <c r="Q363" s="372">
        <f>IF(AND(GPUTypeSelected="true",NVIDIA_v100_SelectionType="true"),Standard_NC12s_v3_Temp*Quantity_Tenant6_Standard_NC12s_v3,0)</f>
        <v>0</v>
      </c>
      <c r="S363" s="422" t="s">
        <v>297</v>
      </c>
      <c r="T363" s="372">
        <f>IF(AND(GPUTypeSelected="true",NVIDIA_v100_SelectionType="true"),Standard_NC12s_v3_GPU*Quantity_Tenant6_Standard_NC12s_v3,0)</f>
        <v>0</v>
      </c>
      <c r="U363" s="500"/>
    </row>
    <row r="364" spans="3:21" x14ac:dyDescent="0.25">
      <c r="C364" s="422" t="s">
        <v>298</v>
      </c>
      <c r="D364" s="372">
        <f>Standard_NC24s_v3_Disk*Quantity_Tenant1_Standard_NC24s_v3</f>
        <v>0</v>
      </c>
      <c r="E364" s="372">
        <f>Standard_NC24s_v3_Disk*Quantity_Tenant2_Standard_NC24s_v3</f>
        <v>0</v>
      </c>
      <c r="F364" s="372">
        <f>Standard_NC24s_v3_Disk*Quantity_Tenant3_Standard_NC24s_v3</f>
        <v>0</v>
      </c>
      <c r="G364" s="372">
        <f>Standard_NC24s_v3_Disk*Quantity_Tenant4_Standard_NC24s_v3</f>
        <v>0</v>
      </c>
      <c r="H364" s="372">
        <f>Standard_NC24s_v3_Disk*Quantity_Tenant5_Standard_NC24s_v3</f>
        <v>0</v>
      </c>
      <c r="I364" s="372">
        <f>IF(AND(GPUTypeSelected="true",NVIDIA_v100_SelectionType="true"),Standard_NC24s_v3_Disk*Quantity_Tenant6_Standard_NC24s_v3,0)</f>
        <v>0</v>
      </c>
      <c r="K364" s="422" t="s">
        <v>298</v>
      </c>
      <c r="L364" s="372">
        <f>Standard_NC24s_v3_Temp*Quantity_Tenant1_Standard_NC24s_v3</f>
        <v>0</v>
      </c>
      <c r="M364" s="372">
        <f>Standard_NC24s_v3_Temp*Quantity_Tenant2_Standard_NC24s_v3</f>
        <v>0</v>
      </c>
      <c r="N364" s="372">
        <f>Standard_NC24s_v3_Temp*Quantity_Tenant3_Standard_NC24s_v3</f>
        <v>0</v>
      </c>
      <c r="O364" s="372">
        <f>Standard_NC24s_v3_Temp*Quantity_Tenant4_Standard_NC24s_v3</f>
        <v>0</v>
      </c>
      <c r="P364" s="372">
        <f>Standard_NC24s_v3_Temp*Quantity_Tenant5_Standard_NC24s_v3</f>
        <v>0</v>
      </c>
      <c r="Q364" s="372">
        <f>IF(AND(GPUTypeSelected="true",NVIDIA_v100_SelectionType="true"),Standard_NC24s_v3_Temp*Quantity_Tenant6_Standard_NC24s_v3,0)</f>
        <v>0</v>
      </c>
      <c r="S364" s="422" t="s">
        <v>298</v>
      </c>
      <c r="T364" s="372">
        <f>IF(AND(GPUTypeSelected="true",NVIDIA_v100_SelectionType="true"),Standard_NC24s_v3_GPU*Quantity_Tenant6_Standard_NC24s_v3,0)</f>
        <v>0</v>
      </c>
      <c r="U364" s="500"/>
    </row>
    <row r="365" spans="3:21" x14ac:dyDescent="0.25">
      <c r="C365" s="427" t="s">
        <v>300</v>
      </c>
      <c r="D365" s="373">
        <f>Standard_NC4as_T4_v3_Disk*Quantity_Tenant1_Standard_NC4as_T4_v3</f>
        <v>0</v>
      </c>
      <c r="E365" s="373">
        <f>Standard_NC4as_T4_v3_Disk*Quantity_Tenant2_Standard_NC4as_T4_v3</f>
        <v>0</v>
      </c>
      <c r="F365" s="373">
        <f>Standard_NC4as_T4_v3_Disk*Quantity_Tenant3_Standard_NC4as_T4_v3</f>
        <v>0</v>
      </c>
      <c r="G365" s="373">
        <f>Standard_NC4as_T4_v3_Disk*Quantity_Tenant4_Standard_NC4as_T4_v3</f>
        <v>0</v>
      </c>
      <c r="H365" s="373">
        <f>Standard_NC4as_T4_v3_Disk*Quantity_Tenant5_Standard_NC4as_T4_v3</f>
        <v>0</v>
      </c>
      <c r="I365" s="373">
        <f>IF(AND(GPUTypeSelected="true",NVIDIA_T4_SelectionType="true"),Standard_NC4as_T4_v3_Disk*Quantity_Tenant6_Standard_NC4as_T4_v3,0)</f>
        <v>0</v>
      </c>
      <c r="K365" s="427" t="s">
        <v>300</v>
      </c>
      <c r="L365" s="373">
        <f>Standard_NC4as_T4_v3_Temp*Quantity_Tenant1_Standard_NC4as_T4_v3</f>
        <v>0</v>
      </c>
      <c r="M365" s="373">
        <f>Standard_NC4as_T4_v3_Temp*Quantity_Tenant2_Standard_NC4as_T4_v3</f>
        <v>0</v>
      </c>
      <c r="N365" s="373">
        <f>Standard_NC4as_T4_v3_Temp*Quantity_Tenant3_Standard_NC4as_T4_v3</f>
        <v>0</v>
      </c>
      <c r="O365" s="373">
        <f>Standard_NC4as_T4_v3_Temp*Quantity_Tenant4_Standard_NC4as_T4_v3</f>
        <v>0</v>
      </c>
      <c r="P365" s="373">
        <f>Standard_NC4as_T4_v3_Temp*Quantity_Tenant5_Standard_NC4as_T4_v3</f>
        <v>0</v>
      </c>
      <c r="Q365" s="373">
        <f>IF(AND(GPUTypeSelected="true",NVIDIA_T4_SelectionType="true"),Standard_NC4as_T4_v3_Temp*Quantity_Tenant6_Standard_NC4as_T4_v3,0)</f>
        <v>0</v>
      </c>
      <c r="S365" s="427" t="s">
        <v>300</v>
      </c>
      <c r="T365" s="373">
        <f>IF(AND(GPUTypeSelected="true",NVIDIA_T4_SelectionType="true"),Standard_NC4as_T4_v3_GPU*Quantity_Tenant6_Standard_NC4as_T4_v3,0)</f>
        <v>0</v>
      </c>
      <c r="U365" s="500"/>
    </row>
    <row r="366" spans="3:21" x14ac:dyDescent="0.25">
      <c r="C366" s="427" t="s">
        <v>301</v>
      </c>
      <c r="D366" s="373">
        <f>Standard_NC8as_T4_v3_Disk*Quantity_Tenant1_Standard_NC8as_T4_v3</f>
        <v>0</v>
      </c>
      <c r="E366" s="373">
        <f>Standard_NC8as_T4_v3_Disk*Quantity_Tenant2_Standard_NC8as_T4_v3</f>
        <v>0</v>
      </c>
      <c r="F366" s="373">
        <f>Standard_NC8as_T4_v3_Disk*Quantity_Tenant3_Standard_NC8as_T4_v3</f>
        <v>0</v>
      </c>
      <c r="G366" s="373">
        <f>Standard_NC8as_T4_v3_Disk*Quantity_Tenant4_Standard_NC8as_T4_v3</f>
        <v>0</v>
      </c>
      <c r="H366" s="373">
        <f>Standard_NC8as_T4_v3_Disk*Quantity_Tenant5_Standard_NC8as_T4_v3</f>
        <v>0</v>
      </c>
      <c r="I366" s="373">
        <f>IF(AND(GPUTypeSelected="true",NVIDIA_T4_SelectionType="true"),Standard_NC8as_T4_v3_Disk*Quantity_Tenant6_Standard_NC8as_T4_v3,0)</f>
        <v>0</v>
      </c>
      <c r="K366" s="427" t="s">
        <v>301</v>
      </c>
      <c r="L366" s="373">
        <f>Standard_NC8as_T4_v3_Temp*Quantity_Tenant1_Standard_NC8as_T4_v3</f>
        <v>0</v>
      </c>
      <c r="M366" s="373">
        <f>Standard_NC8as_T4_v3_Temp*Quantity_Tenant2_Standard_NC8as_T4_v3</f>
        <v>0</v>
      </c>
      <c r="N366" s="373">
        <f>Standard_NC8as_T4_v3_Temp*Quantity_Tenant3_Standard_NC8as_T4_v3</f>
        <v>0</v>
      </c>
      <c r="O366" s="373">
        <f>Standard_NC8as_T4_v3_Temp*Quantity_Tenant4_Standard_NC8as_T4_v3</f>
        <v>0</v>
      </c>
      <c r="P366" s="373">
        <f>Standard_NC8as_T4_v3_Temp*Quantity_Tenant5_Standard_NC8as_T4_v3</f>
        <v>0</v>
      </c>
      <c r="Q366" s="373">
        <f>IF(AND(GPUTypeSelected="true",NVIDIA_T4_SelectionType="true"),Standard_NC8as_T4_v3_Temp*Quantity_Tenant6_Standard_NC8as_T4_v3,0)</f>
        <v>0</v>
      </c>
      <c r="S366" s="427" t="s">
        <v>301</v>
      </c>
      <c r="T366" s="373">
        <f>IF(AND(GPUTypeSelected="true",NVIDIA_T4_SelectionType="true"),Standard_NC8as_T4_v3_GPU*Quantity_Tenant6_Standard_NC8as_T4_v3,0)</f>
        <v>0</v>
      </c>
      <c r="U366" s="500"/>
    </row>
    <row r="367" spans="3:21" x14ac:dyDescent="0.25">
      <c r="C367" s="427" t="s">
        <v>302</v>
      </c>
      <c r="D367" s="373">
        <f>Standard_NC16as_T4_v3_Disk*Quantity_Tenant1_Standard_NC16as_T4_v3</f>
        <v>0</v>
      </c>
      <c r="E367" s="373">
        <f>Standard_NC16as_T4_v3_Disk*Quantity_Tenant2_Standard_NC16as_T4_v3</f>
        <v>0</v>
      </c>
      <c r="F367" s="373">
        <f>Standard_NC16as_T4_v3_Disk*Quantity_Tenant3_Standard_NC16as_T4_v3</f>
        <v>0</v>
      </c>
      <c r="G367" s="373">
        <f>Standard_NC16as_T4_v3_Disk*Quantity_Tenant4_Standard_NC16as_T4_v3</f>
        <v>0</v>
      </c>
      <c r="H367" s="373">
        <f>Standard_NC16as_T4_v3_Disk*Quantity_Tenant5_Standard_NC16as_T4_v3</f>
        <v>0</v>
      </c>
      <c r="I367" s="373">
        <f>IF(AND(GPUTypeSelected="true",NVIDIA_T4_SelectionType="true"),Standard_NC16as_T4_v3_Disk*Quantity_Tenant6_Standard_NC16as_T4_v3,0)</f>
        <v>0</v>
      </c>
      <c r="K367" s="427" t="s">
        <v>302</v>
      </c>
      <c r="L367" s="373">
        <f>Standard_NC16as_T4_v3_Temp*Quantity_Tenant1_Standard_NC16as_T4_v3</f>
        <v>0</v>
      </c>
      <c r="M367" s="373">
        <f>Standard_NC16as_T4_v3_Temp*Quantity_Tenant2_Standard_NC16as_T4_v3</f>
        <v>0</v>
      </c>
      <c r="N367" s="373">
        <f>Standard_NC16as_T4_v3_Temp*Quantity_Tenant3_Standard_NC16as_T4_v3</f>
        <v>0</v>
      </c>
      <c r="O367" s="373">
        <f>Standard_NC16as_T4_v3_Temp*Quantity_Tenant4_Standard_NC16as_T4_v3</f>
        <v>0</v>
      </c>
      <c r="P367" s="373">
        <f>Standard_NC16as_T4_v3_Temp*Quantity_Tenant5_Standard_NC16as_T4_v3</f>
        <v>0</v>
      </c>
      <c r="Q367" s="373">
        <f>IF(AND(GPUTypeSelected="true",NVIDIA_T4_SelectionType="true"),Standard_NC16as_T4_v3_Temp*Quantity_Tenant6_Standard_NC16as_T4_v3,0)</f>
        <v>0</v>
      </c>
      <c r="S367" s="427" t="s">
        <v>302</v>
      </c>
      <c r="T367" s="373">
        <f>IF(AND(GPUTypeSelected="true",NVIDIA_T4_SelectionType="true"),Standard_NC16as_T4_v3_GPU*Quantity_Tenant6_Standard_NC16as_T4_v3,0)</f>
        <v>0</v>
      </c>
      <c r="U367" s="500"/>
    </row>
    <row r="368" spans="3:21" x14ac:dyDescent="0.25">
      <c r="C368" s="427" t="s">
        <v>303</v>
      </c>
      <c r="D368" s="373">
        <f>Standard_NC64as_T4_v3_Disk*Quantity_Tenant1_Standard_NC64as_T4_v3</f>
        <v>0</v>
      </c>
      <c r="E368" s="373">
        <f>Standard_NC64as_T4_v3_Disk*Quantity_Tenant2_Standard_NC64as_T4_v3</f>
        <v>0</v>
      </c>
      <c r="F368" s="373">
        <f>Standard_NC64as_T4_v3_Disk*Quantity_Tenant3_Standard_NC64as_T4_v3</f>
        <v>0</v>
      </c>
      <c r="G368" s="373">
        <f>Standard_NC64as_T4_v3_Disk*Quantity_Tenant4_Standard_NC64as_T4_v3</f>
        <v>0</v>
      </c>
      <c r="H368" s="373">
        <f>Standard_NC64as_T4_v3_Disk*Quantity_Tenant5_Standard_NC64as_T4_v3</f>
        <v>0</v>
      </c>
      <c r="I368" s="373">
        <f>IF(AND(GPUTypeSelected="true",NVIDIA_T4_SelectionType="true"),Standard_NC64as_T4_v3_Disk*Quantity_Tenant6_Standard_NC64as_T4_v3,0)</f>
        <v>0</v>
      </c>
      <c r="K368" s="427" t="s">
        <v>303</v>
      </c>
      <c r="L368" s="373">
        <f>Standard_NC64as_T4_v3_Temp*Quantity_Tenant1_Standard_NC64as_T4_v3</f>
        <v>0</v>
      </c>
      <c r="M368" s="373">
        <f>Standard_NC64as_T4_v3_Temp*Quantity_Tenant2_Standard_NC64as_T4_v3</f>
        <v>0</v>
      </c>
      <c r="N368" s="373">
        <f>Standard_NC64as_T4_v3_Temp*Quantity_Tenant3_Standard_NC64as_T4_v3</f>
        <v>0</v>
      </c>
      <c r="O368" s="373">
        <f>Standard_NC64as_T4_v3_Temp*Quantity_Tenant4_Standard_NC64as_T4_v3</f>
        <v>0</v>
      </c>
      <c r="P368" s="373">
        <f>Standard_NC64as_T4_v3_Temp*Quantity_Tenant5_Standard_NC64as_T4_v3</f>
        <v>0</v>
      </c>
      <c r="Q368" s="373">
        <f>IF(AND(GPUTypeSelected="true",NVIDIA_T4_SelectionType="true"),Standard_NC64as_T4_v3_Temp*Quantity_Tenant6_Standard_NC64as_T4_v3,0)</f>
        <v>0</v>
      </c>
      <c r="S368" s="427" t="s">
        <v>303</v>
      </c>
      <c r="T368" s="373">
        <f>IF(AND(GPUTypeSelected="true",NVIDIA_T4_SelectionType="true"),Standard_NC64as_T4_v3_GPU*Quantity_Tenant6_Standard_NC64as_T4_v3,0)</f>
        <v>0</v>
      </c>
      <c r="U368" s="500"/>
    </row>
    <row r="369" spans="3:21" x14ac:dyDescent="0.25">
      <c r="C369" s="427" t="s">
        <v>709</v>
      </c>
      <c r="D369" s="373">
        <f>Standard_NC24ads_A100_v4_Disk*Quantity_Tenant1_Standard_NC24ads_A100_v4</f>
        <v>0</v>
      </c>
      <c r="E369" s="373">
        <f>Standard_NC24ads_A100_v4_Disk*Quantity_Tenant2_Standard_NC24ads_A100_v4</f>
        <v>0</v>
      </c>
      <c r="F369" s="373">
        <f>Standard_NC24ads_A100_v4_Disk*Quantity_Tenant3_Standard_NC24ads_A100_v4</f>
        <v>0</v>
      </c>
      <c r="G369" s="373">
        <f>Standard_NC24ads_A100_v4_Disk*Quantity_Tenant4_Standard_NC24ads_A100_v4</f>
        <v>0</v>
      </c>
      <c r="H369" s="373">
        <f>Standard_NC24ads_A100_v4_Disk*Quantity_Tenant5_Standard_NC24ads_A100_v4</f>
        <v>0</v>
      </c>
      <c r="I369" s="373">
        <f>IF(AND(GPUTypeSelected="true",NVIDIA_A100_SelectionType="true"),Standard_NC24ads_A100_v4_Disk*Quantity_Tenant6_Standard_NC24ads_A100_v4,0)</f>
        <v>0</v>
      </c>
      <c r="K369" s="427" t="s">
        <v>709</v>
      </c>
      <c r="L369" s="373">
        <f>Standard_NC24ads_A100_v4_Temp*Quantity_Tenant1_Standard_NC24ads_A100_v4</f>
        <v>0</v>
      </c>
      <c r="M369" s="373">
        <f>Standard_NC24ads_A100_v4_Temp*Quantity_Tenant2_Standard_NC24ads_A100_v4</f>
        <v>0</v>
      </c>
      <c r="N369" s="373">
        <f>Standard_NC24ads_A100_v4_Temp*Quantity_Tenant3_Standard_NC24ads_A100_v4</f>
        <v>0</v>
      </c>
      <c r="O369" s="373">
        <f>Standard_NC24ads_A100_v4_Temp*Quantity_Tenant4_Standard_NC24ads_A100_v4</f>
        <v>0</v>
      </c>
      <c r="P369" s="373">
        <f>Standard_NC24ads_A100_v4_Temp*Quantity_Tenant5_Standard_NC24ads_A100_v4</f>
        <v>0</v>
      </c>
      <c r="Q369" s="373">
        <f>IF(AND(GPUTypeSelected="true",NVIDIA_A100_SelectionType="true"),Standard_NC24ads_A100_v4_Temp*Quantity_Tenant6_Standard_NC24ads_A100_v4,0)</f>
        <v>0</v>
      </c>
      <c r="S369" s="427" t="s">
        <v>709</v>
      </c>
      <c r="T369" s="373">
        <f>IF(AND(GPUTypeSelected="true",NVIDIA_A100_SelectionType="true"),Standard_NC24ads_A100_v4_GPU*Quantity_Tenant6_Standard_NC24ads_A100_v4,0)</f>
        <v>0</v>
      </c>
      <c r="U369" s="500"/>
    </row>
    <row r="370" spans="3:21" x14ac:dyDescent="0.25">
      <c r="C370" s="427" t="s">
        <v>710</v>
      </c>
      <c r="D370" s="373">
        <f>Standard_NC48ads_A100_v4_Disk*Quantity_Tenant1_Standard_NC48ads_A100_v4</f>
        <v>0</v>
      </c>
      <c r="E370" s="373">
        <f>Standard_NC48ads_A100_v4_Disk*Quantity_Tenant2_Standard_NC48ads_A100_v4</f>
        <v>0</v>
      </c>
      <c r="F370" s="373">
        <f>Standard_NC48ads_A100_v4_Disk*Quantity_Tenant3_Standard_NC48ads_A100_v4</f>
        <v>0</v>
      </c>
      <c r="G370" s="373">
        <f>Standard_NC48ads_A100_v4_Disk*Quantity_Tenant4_Standard_NC48ads_A100_v4</f>
        <v>0</v>
      </c>
      <c r="H370" s="373">
        <f>Standard_NC48ads_A100_v4_Disk*Quantity_Tenant5_Standard_NC48ads_A100_v4</f>
        <v>0</v>
      </c>
      <c r="I370" s="373">
        <f>IF(AND(GPUTypeSelected="true",NVIDIA_A100_SelectionType="true"),Standard_NC48ads_A100_v4_Disk*Quantity_Tenant6_Standard_NC48ads_A100_v4,0)</f>
        <v>0</v>
      </c>
      <c r="K370" s="427" t="s">
        <v>710</v>
      </c>
      <c r="L370" s="373">
        <f>Standard_NC48ads_A100_v4_Temp*Quantity_Tenant1_Standard_NC48ads_A100_v4</f>
        <v>0</v>
      </c>
      <c r="M370" s="373">
        <f>Standard_NC48ads_A100_v4_Temp*Quantity_Tenant2_Standard_NC48ads_A100_v4</f>
        <v>0</v>
      </c>
      <c r="N370" s="373">
        <f>Standard_NC48ads_A100_v4_Temp*Quantity_Tenant3_Standard_NC48ads_A100_v4</f>
        <v>0</v>
      </c>
      <c r="O370" s="373">
        <f>Standard_NC48ads_A100_v4_Temp*Quantity_Tenant4_Standard_NC48ads_A100_v4</f>
        <v>0</v>
      </c>
      <c r="P370" s="373">
        <f>Standard_NC48ads_A100_v4_Temp*Quantity_Tenant5_Standard_NC48ads_A100_v4</f>
        <v>0</v>
      </c>
      <c r="Q370" s="373">
        <f>IF(AND(GPUTypeSelected="true",NVIDIA_A100_SelectionType="true"),Standard_NC48ads_A100_v4_Temp*Quantity_Tenant6_Standard_NC48ads_A100_v4,0)</f>
        <v>0</v>
      </c>
      <c r="S370" s="427" t="s">
        <v>710</v>
      </c>
      <c r="T370" s="373">
        <f>IF(AND(GPUTypeSelected="true",NVIDIA_A100_SelectionType="true"),Standard_NC48ads_A100_v4_GPU*Quantity_Tenant6_Standard_NC48ads_A100_v4,0)</f>
        <v>0</v>
      </c>
      <c r="U370" s="500"/>
    </row>
    <row r="371" spans="3:21" x14ac:dyDescent="0.25">
      <c r="C371" s="429" t="s">
        <v>305</v>
      </c>
      <c r="D371" s="374">
        <f>Standard_NV4as_v4_Disk*Quantity_Tenant1_Standard_NV4as_v4</f>
        <v>0</v>
      </c>
      <c r="E371" s="374">
        <f>Standard_NV4as_v4_Disk*Quantity_Tenant2_Standard_NV4as_v4</f>
        <v>0</v>
      </c>
      <c r="F371" s="374">
        <f>Standard_NV4as_v4_Disk*Quantity_Tenant3_Standard_NV4as_v4</f>
        <v>0</v>
      </c>
      <c r="G371" s="374">
        <f>Standard_NV4as_v4_Disk*Quantity_Tenant4_Standard_NV4as_v4</f>
        <v>0</v>
      </c>
      <c r="H371" s="374">
        <f>Standard_NV4as_v4_Disk*Quantity_Tenant5_Standard_NV4as_v4</f>
        <v>0</v>
      </c>
      <c r="I371" s="374">
        <f>IF(GPUTypeSelected="true",IF(AND(AMD_GPUType_Selection_Check="true",Sku_6_GPU_Partition_Number = Standard_NV4as_v4_GPU),Standard_NV4as_v4_Disk*Quantity_Tenant6_Standard_NV4as_v4,0),0)</f>
        <v>0</v>
      </c>
      <c r="K371" s="429" t="s">
        <v>305</v>
      </c>
      <c r="L371" s="374">
        <f>Standard_NV4as_v4_Temp*Quantity_Tenant1_Standard_NV4as_v4</f>
        <v>0</v>
      </c>
      <c r="M371" s="374">
        <f>Standard_NV4as_v4_Temp*Quantity_Tenant2_Standard_NV4as_v4</f>
        <v>0</v>
      </c>
      <c r="N371" s="374">
        <f>Standard_NV4as_v4_Temp*Quantity_Tenant3_Standard_NV4as_v4</f>
        <v>0</v>
      </c>
      <c r="O371" s="374">
        <f>Standard_NV4as_v4_Temp*Quantity_Tenant4_Standard_NV4as_v4</f>
        <v>0</v>
      </c>
      <c r="P371" s="374">
        <f>Standard_NV4as_v4_Temp*Quantity_Tenant5_Standard_NV4as_v4</f>
        <v>0</v>
      </c>
      <c r="Q371" s="374">
        <f>IF(GPUTypeSelected="true",IF(AND(AMD_GPUType_Selection_Check="true",Sku_6_GPU_Partition_Number = Standard_NV4as_v4_GPU),Standard_NV4as_v4_Temp*Quantity_Tenant6_Standard_NV4as_v4,0),0)</f>
        <v>0</v>
      </c>
      <c r="S371" s="429" t="s">
        <v>305</v>
      </c>
      <c r="T371" s="374">
        <f>IF(GPUTypeSelected="true",IF(AND(AMD_GPUType_Selection_Check="true",Sku_6_GPU_Partition_Number = Standard_NV4as_v4_GPU),Quantity_Tenant6_Standard_NV4as_v4,0),0)</f>
        <v>0</v>
      </c>
      <c r="U371" s="500"/>
    </row>
    <row r="372" spans="3:21" x14ac:dyDescent="0.25">
      <c r="C372" s="429" t="s">
        <v>307</v>
      </c>
      <c r="D372" s="374">
        <f>Standard_NV8as_v4_Disk*Quantity_Tenant1_Standard_NV8as_v4</f>
        <v>0</v>
      </c>
      <c r="E372" s="374">
        <f>Standard_NV8as_v4_Disk*Quantity_Tenant2_Standard_NV8as_v4</f>
        <v>0</v>
      </c>
      <c r="F372" s="374">
        <f>Standard_NV8as_v4_Disk*Quantity_Tenant3_Standard_NV8as_v4</f>
        <v>0</v>
      </c>
      <c r="G372" s="374">
        <f>Standard_NV8as_v4_Disk*Quantity_Tenant4_Standard_NV8as_v4</f>
        <v>0</v>
      </c>
      <c r="H372" s="374">
        <f>Standard_NV8as_v4_Disk*Quantity_Tenant5_Standard_NV8as_v4</f>
        <v>0</v>
      </c>
      <c r="I372" s="374">
        <f>IF(GPUTypeSelected="true",IF(AND(AMD_GPUType_Selection_Check="true",Sku_6_GPU_Partition_Number = Standard_NV8as_v4_GPU),Standard_NV8as_v4_Disk*Quantity_Tenant6_Standard_NV8as_v4,0),0)</f>
        <v>0</v>
      </c>
      <c r="K372" s="429" t="s">
        <v>307</v>
      </c>
      <c r="L372" s="374">
        <f>Standard_NV8as_v4_Temp*Quantity_Tenant1_Standard_NV8as_v4</f>
        <v>0</v>
      </c>
      <c r="M372" s="374">
        <f>Standard_NV8as_v4_Temp*Quantity_Tenant2_Standard_NV8as_v4</f>
        <v>0</v>
      </c>
      <c r="N372" s="374">
        <f>Standard_NV8as_v4_Temp*Quantity_Tenant3_Standard_NV8as_v4</f>
        <v>0</v>
      </c>
      <c r="O372" s="374">
        <f>Standard_NV8as_v4_Temp*Quantity_Tenant4_Standard_NV8as_v4</f>
        <v>0</v>
      </c>
      <c r="P372" s="374">
        <f>Standard_NV8as_v4_Temp*Quantity_Tenant5_Standard_NV8as_v4</f>
        <v>0</v>
      </c>
      <c r="Q372" s="374">
        <f>IF(GPUTypeSelected="true",IF(AND(AMD_GPUType_Selection_Check="true",Sku_6_GPU_Partition_Number = Standard_NV8as_v4_GPU),Standard_NV8as_v4_Temp*Quantity_Tenant6_Standard_NV8as_v4,0),0)</f>
        <v>0</v>
      </c>
      <c r="S372" s="429" t="s">
        <v>307</v>
      </c>
      <c r="T372" s="374">
        <f>IF(GPUTypeSelected="true",IF(AND(AMD_GPUType_Selection_Check="true",Sku_6_GPU_Partition_Number = Standard_NV8as_v4_GPU),Quantity_Tenant6_Standard_NV8as_v4,0),0)</f>
        <v>0</v>
      </c>
      <c r="U372" s="500"/>
    </row>
    <row r="373" spans="3:21" x14ac:dyDescent="0.25">
      <c r="C373" s="429" t="s">
        <v>309</v>
      </c>
      <c r="D373" s="374">
        <f>Standard_NV16as_v4_Disk*Quantity_Tenant1_Standard_NV16as_v4</f>
        <v>0</v>
      </c>
      <c r="E373" s="374">
        <f>Standard_NV16as_v4_Disk*Quantity_Tenant2_Standard_NV16as_v4</f>
        <v>0</v>
      </c>
      <c r="F373" s="374">
        <f>Standard_NV16as_v4_Disk*Quantity_Tenant3_Standard_NV16as_v4</f>
        <v>0</v>
      </c>
      <c r="G373" s="374">
        <f>Standard_NV16as_v4_Disk*Quantity_Tenant4_Standard_NV16as_v4</f>
        <v>0</v>
      </c>
      <c r="H373" s="374">
        <f>Standard_NV16as_v4_Disk*Quantity_Tenant5_Standard_NV16as_v4</f>
        <v>0</v>
      </c>
      <c r="I373" s="374">
        <f>IF(GPUTypeSelected="true",IF(AND(AMD_GPUType_Selection_Check="true",Sku_6_GPU_Partition_Number = Standard_NV16as_v4_GPU),Standard_NV16as_v4_Disk*Quantity_Tenant6_Standard_NV16as_v4,0),0)</f>
        <v>0</v>
      </c>
      <c r="K373" s="429" t="s">
        <v>309</v>
      </c>
      <c r="L373" s="374">
        <f>Standard_NV16as_v4_Temp*Quantity_Tenant1_Standard_NV16as_v4</f>
        <v>0</v>
      </c>
      <c r="M373" s="374">
        <f>Standard_NV16as_v4_Temp*Quantity_Tenant2_Standard_NV16as_v4</f>
        <v>0</v>
      </c>
      <c r="N373" s="374">
        <f>Standard_NV16as_v4_Temp*Quantity_Tenant3_Standard_NV16as_v4</f>
        <v>0</v>
      </c>
      <c r="O373" s="374">
        <f>Standard_NV16as_v4_Temp*Quantity_Tenant4_Standard_NV16as_v4</f>
        <v>0</v>
      </c>
      <c r="P373" s="374">
        <f>Standard_NV16as_v4_Temp*Quantity_Tenant5_Standard_NV16as_v4</f>
        <v>0</v>
      </c>
      <c r="Q373" s="374">
        <f>IF(GPUTypeSelected="true",IF(AND(AMD_GPUType_Selection_Check="true",Sku_6_GPU_Partition_Number = Standard_NV16as_v4_GPU),Standard_NV16as_v4_Temp*Quantity_Tenant6_Standard_NV16as_v4,0),0)</f>
        <v>0</v>
      </c>
      <c r="S373" s="429" t="s">
        <v>309</v>
      </c>
      <c r="T373" s="374">
        <f>IF(GPUTypeSelected="true",IF(AND(AMD_GPUType_Selection_Check="true",Sku_6_GPU_Partition_Number = Standard_NV16as_v4_GPU),Quantity_Tenant6_Standard_NV16as_v4,0),0)</f>
        <v>0</v>
      </c>
      <c r="U373" s="500"/>
    </row>
    <row r="374" spans="3:21" x14ac:dyDescent="0.25">
      <c r="C374" s="429" t="s">
        <v>312</v>
      </c>
      <c r="D374" s="374">
        <f>Standard_NV32as_v4_Disk*Quantity_Tenant1_Standard_NV32as_v4</f>
        <v>0</v>
      </c>
      <c r="E374" s="374">
        <f>Standard_NV32as_v4_Disk*Quantity_Tenant2_Standard_NV32as_v4</f>
        <v>0</v>
      </c>
      <c r="F374" s="374">
        <f>Standard_NV32as_v4_Disk*Quantity_Tenant3_Standard_NV32as_v4</f>
        <v>0</v>
      </c>
      <c r="G374" s="374">
        <f>Standard_NV32as_v4_Disk*Quantity_Tenant4_Standard_NV32as_v4</f>
        <v>0</v>
      </c>
      <c r="H374" s="374">
        <f>Standard_NV32as_v4_Disk*Quantity_Tenant5_Standard_NV32as_v4</f>
        <v>0</v>
      </c>
      <c r="I374" s="374">
        <f>IF(GPUTypeSelected="true",IF(AND(AMD_GPUType_Selection_Check="true",Sku_6_GPU_Partition_Number = Standard_NV32as_v4_GPU),Standard_NV32as_v4_Disk*Quantity_Tenant6_Standard_NV32as_v4,0),0)</f>
        <v>0</v>
      </c>
      <c r="K374" s="429" t="s">
        <v>312</v>
      </c>
      <c r="L374" s="374">
        <f>Standard_NV32as_v4_Temp*Quantity_Tenant1_Standard_NV32as_v4</f>
        <v>0</v>
      </c>
      <c r="M374" s="374">
        <f>Standard_NV32as_v4_Temp*Quantity_Tenant2_Standard_NV32as_v4</f>
        <v>0</v>
      </c>
      <c r="N374" s="374">
        <f>Standard_NV32as_v4_Temp*Quantity_Tenant3_Standard_NV32as_v4</f>
        <v>0</v>
      </c>
      <c r="O374" s="374">
        <f>Standard_NV32as_v4_Temp*Quantity_Tenant4_Standard_NV32as_v4</f>
        <v>0</v>
      </c>
      <c r="P374" s="374">
        <f>Standard_NV32as_v4_Temp*Quantity_Tenant5_Standard_NV32as_v4</f>
        <v>0</v>
      </c>
      <c r="Q374" s="374">
        <f>IF(GPUTypeSelected="true",IF(AND(AMD_GPUType_Selection_Check="true",Sku_6_GPU_Partition_Number = Standard_NV32as_v4_GPU),Standard_NV32as_v4_Temp*Quantity_Tenant6_Standard_NV32as_v4,0),0)</f>
        <v>0</v>
      </c>
      <c r="S374" s="429" t="s">
        <v>312</v>
      </c>
      <c r="T374" s="374">
        <f>IF(GPUTypeSelected="true",IF(AND(AMD_GPUType_Selection_Check="true",Sku_6_GPU_Partition_Number = Standard_NV32as_v4_GPU),Quantity_Tenant6_Standard_NV32as_v4,0),0)</f>
        <v>0</v>
      </c>
      <c r="U374" s="500"/>
    </row>
    <row r="375" spans="3:21" x14ac:dyDescent="0.25">
      <c r="C375" s="494" t="s">
        <v>387</v>
      </c>
      <c r="D375" s="519">
        <f t="shared" ref="D375:I375" si="2">SUM(D282:D374)</f>
        <v>2048</v>
      </c>
      <c r="E375" s="518">
        <f t="shared" si="2"/>
        <v>23388</v>
      </c>
      <c r="F375" s="519">
        <f t="shared" si="2"/>
        <v>41248</v>
      </c>
      <c r="G375" s="518">
        <f t="shared" si="2"/>
        <v>67808</v>
      </c>
      <c r="H375" s="519">
        <f t="shared" si="2"/>
        <v>163840</v>
      </c>
      <c r="I375" s="518">
        <f t="shared" si="2"/>
        <v>0</v>
      </c>
      <c r="K375" s="494" t="s">
        <v>387</v>
      </c>
      <c r="L375" s="519">
        <f t="shared" ref="L375:Q375" si="3">SUM(L282:L374)</f>
        <v>3</v>
      </c>
      <c r="M375" s="518">
        <f t="shared" si="3"/>
        <v>3200</v>
      </c>
      <c r="N375" s="519">
        <f t="shared" si="3"/>
        <v>9867</v>
      </c>
      <c r="O375" s="518">
        <f t="shared" si="3"/>
        <v>19040</v>
      </c>
      <c r="P375" s="519">
        <f t="shared" si="3"/>
        <v>1000</v>
      </c>
      <c r="Q375" s="512">
        <f t="shared" si="3"/>
        <v>0</v>
      </c>
      <c r="S375" s="494" t="s">
        <v>388</v>
      </c>
      <c r="T375" s="521">
        <f>IF(GPUTypeSelected="true",IF(AMD_GPUType_Selection_Check="true",SUM(T371:T374),SUM(T362:T370)),0)</f>
        <v>0</v>
      </c>
      <c r="U375" s="498"/>
    </row>
    <row r="376" spans="3:21" ht="15.75" thickBot="1" x14ac:dyDescent="0.3">
      <c r="C376" s="495" t="s">
        <v>365</v>
      </c>
      <c r="D376" s="515">
        <f>Quantity_Type1_Tenants</f>
        <v>0</v>
      </c>
      <c r="E376" s="514">
        <f>Quantity_Type2_Tenants</f>
        <v>0</v>
      </c>
      <c r="F376" s="515">
        <f>Quantity_Type3_Tenants</f>
        <v>0</v>
      </c>
      <c r="G376" s="514">
        <f>Quantity_Type4_Tenants</f>
        <v>0</v>
      </c>
      <c r="H376" s="515">
        <f>Quantity_Type5_Tenants</f>
        <v>0</v>
      </c>
      <c r="I376" s="514">
        <f>Quantity_Type6_Tenants</f>
        <v>1</v>
      </c>
      <c r="K376" s="495" t="s">
        <v>365</v>
      </c>
      <c r="L376" s="515">
        <f>Quantity_Type1_Tenants</f>
        <v>0</v>
      </c>
      <c r="M376" s="514">
        <f>Quantity_Type2_Tenants</f>
        <v>0</v>
      </c>
      <c r="N376" s="515">
        <f>Quantity_Type3_Tenants</f>
        <v>0</v>
      </c>
      <c r="O376" s="514">
        <f>Quantity_Type4_Tenants</f>
        <v>0</v>
      </c>
      <c r="P376" s="515">
        <f>Quantity_Type5_Tenants</f>
        <v>0</v>
      </c>
      <c r="Q376" s="514">
        <f>Quantity_Type6_Tenants</f>
        <v>1</v>
      </c>
      <c r="S376" s="495" t="s">
        <v>365</v>
      </c>
      <c r="T376" s="522">
        <f>Quantity_Type6_Tenants</f>
        <v>1</v>
      </c>
      <c r="U376" s="498"/>
    </row>
    <row r="377" spans="3:21" ht="15.75" thickBot="1" x14ac:dyDescent="0.3">
      <c r="C377" s="496" t="s">
        <v>389</v>
      </c>
      <c r="D377" s="517">
        <f>Quantity_Inv_VM_Disk_Tenant1*Quantity_Type1_Tenants</f>
        <v>0</v>
      </c>
      <c r="E377" s="516">
        <f>Quantity_Inv_VM_Disk_Tenant2*Quantity_Type2_Tenants</f>
        <v>0</v>
      </c>
      <c r="F377" s="517">
        <f>Quantity_Inv_VM_Disk_Tenant3*Quantity_Type3_Tenants</f>
        <v>0</v>
      </c>
      <c r="G377" s="516">
        <f>Quantity_Inv_VM_Disk_Tenant4*Quantity_Type4_Tenants</f>
        <v>0</v>
      </c>
      <c r="H377" s="517">
        <f>Quantity_Inv_VM_Disk_Tenant5*Quantity_Type5_Tenants</f>
        <v>0</v>
      </c>
      <c r="I377" s="516">
        <f>Quantity_Inv_VM_Disk_Tenant6*Quantity_Type6_Tenants</f>
        <v>0</v>
      </c>
      <c r="K377" s="496" t="s">
        <v>390</v>
      </c>
      <c r="L377" s="517">
        <f>Quantity_Inv_VM_Temp_Tenant1*Quantity_Type1_Tenants</f>
        <v>0</v>
      </c>
      <c r="M377" s="516">
        <f>Quantity_Inv_VM_Temp_Tenant2*Quantity_Type2_Tenants</f>
        <v>0</v>
      </c>
      <c r="N377" s="517">
        <f>Quantity_Inv_VM_Temp_Tenant3*Quantity_Type3_Tenants</f>
        <v>0</v>
      </c>
      <c r="O377" s="516">
        <f>Quantity_Inv_VM_Temp_Tenant4*Quantity_Type4_Tenants</f>
        <v>0</v>
      </c>
      <c r="P377" s="517">
        <f>Quantity_Inv_VM_Temp_Tenant5*Quantity_Type5_Tenants</f>
        <v>0</v>
      </c>
      <c r="Q377" s="516">
        <f>Quantity_Inv_VM_Temp_Tenant6*Quantity_Type6_Tenants</f>
        <v>0</v>
      </c>
      <c r="S377" s="496" t="s">
        <v>391</v>
      </c>
      <c r="T377" s="523">
        <f>T375*T376</f>
        <v>0</v>
      </c>
      <c r="U377" s="498"/>
    </row>
    <row r="378" spans="3:21" ht="15.75" thickBot="1" x14ac:dyDescent="0.3">
      <c r="C378" s="496" t="s">
        <v>392</v>
      </c>
      <c r="D378" s="58">
        <f>Consumed_Tenant1_VM_Disk+Consumed_Tenant2_VM_Disk+Consumed_Tenant3_VM_Disk+Consumed_Tenant4_VM_Disk+Consumed_Tenant5_VM_Disk+Consumed_Tenant6_VM_Disk</f>
        <v>0</v>
      </c>
      <c r="K378" s="496" t="s">
        <v>393</v>
      </c>
      <c r="L378" s="58">
        <f>Consumed_Tenant1_VM_Temp+Consumed_Tenant2_VM_Temp+Consumed_Tenant3_VM_Temp+Consumed_Tenant4_VM_Temp+Consumed_Tenant5_VM_Temp+Consumed_Tenant6_VM_Temp</f>
        <v>0</v>
      </c>
      <c r="S378" s="496" t="s">
        <v>394</v>
      </c>
      <c r="T378" s="524">
        <f>T377</f>
        <v>0</v>
      </c>
      <c r="U378" s="498"/>
    </row>
  </sheetData>
  <sheetProtection algorithmName="SHA-512" hashValue="RteVtGWAx5BxcnMc2690AM0qI6vK4oDiIcySyq7kcEVYldMPblyZCC1Fswv26eqmdweKmqwGbNNKQWWQzP3iow==" saltValue="TM3lIktMPc/1sspoRQ0/OQ==" spinCount="100000" sheet="1" objects="1" scenarios="1"/>
  <autoFilter ref="K180:K276" xr:uid="{00000000-0009-0000-0000-000004000000}"/>
  <mergeCells count="10">
    <mergeCell ref="S2:U2"/>
    <mergeCell ref="S10:U11"/>
    <mergeCell ref="C93:I93"/>
    <mergeCell ref="C66:I66"/>
    <mergeCell ref="S3:U4"/>
    <mergeCell ref="S12:U12"/>
    <mergeCell ref="S5:U5"/>
    <mergeCell ref="K11:P11"/>
    <mergeCell ref="R14:V15"/>
    <mergeCell ref="K12:Q12"/>
  </mergeCells>
  <phoneticPr fontId="40" type="noConversion"/>
  <conditionalFormatting sqref="I126">
    <cfRule type="expression" dxfId="16" priority="8">
      <formula>$B$126&lt;&gt;Sku_6_GPU_Partition_Number</formula>
    </cfRule>
  </conditionalFormatting>
  <conditionalFormatting sqref="I127">
    <cfRule type="expression" dxfId="15" priority="7">
      <formula>$B$127&lt;&gt;Sku_6_GPU_Partition_Number</formula>
    </cfRule>
  </conditionalFormatting>
  <conditionalFormatting sqref="I128">
    <cfRule type="expression" dxfId="14" priority="6">
      <formula>$B$128&lt;&gt;Sku_6_GPU_Partition_Number</formula>
    </cfRule>
  </conditionalFormatting>
  <conditionalFormatting sqref="I129">
    <cfRule type="expression" dxfId="13" priority="5">
      <formula>OR($B$129&lt;&gt;Sku_6_GPU_Partition_Number, AMD_GPUType_Selection_Check="false")</formula>
    </cfRule>
  </conditionalFormatting>
  <conditionalFormatting sqref="I126:I129">
    <cfRule type="expression" dxfId="12" priority="4" stopIfTrue="1">
      <formula>(GPUTypeSelected="false")</formula>
    </cfRule>
  </conditionalFormatting>
  <conditionalFormatting sqref="I114:I116">
    <cfRule type="expression" dxfId="11" priority="3" stopIfTrue="1">
      <formula>(NVIDIA_v100_SelectionType="false")</formula>
    </cfRule>
  </conditionalFormatting>
  <conditionalFormatting sqref="I118:I121">
    <cfRule type="expression" dxfId="10" priority="2">
      <formula>(NVIDIA_T4_SelectionType="false")</formula>
    </cfRule>
  </conditionalFormatting>
  <conditionalFormatting sqref="I123:I124">
    <cfRule type="expression" dxfId="9" priority="1">
      <formula>(NVIDIA_A100_SelectionType="false")</formula>
    </cfRule>
  </conditionalFormatting>
  <dataValidations xWindow="155" yWindow="734" count="7">
    <dataValidation type="textLength" allowBlank="1" showInputMessage="1" showErrorMessage="1" sqref="W202:W207 S201:S206 W13:W14" xr:uid="{00000000-0002-0000-0400-000000000000}">
      <formula1>2</formula1>
      <formula2>2</formula2>
    </dataValidation>
    <dataValidation type="list" allowBlank="1" showInputMessage="1" showErrorMessage="1" sqref="U202:U207" xr:uid="{00000000-0002-0000-0400-000001000000}">
      <formula1>$AD$176:$AD$179</formula1>
    </dataValidation>
    <dataValidation type="list" allowBlank="1" showInputMessage="1" showErrorMessage="1" sqref="J202:J207 V202:V207 V13" xr:uid="{00000000-0002-0000-0400-000003000000}">
      <formula1>#REF!</formula1>
    </dataValidation>
    <dataValidation type="list" allowBlank="1" showInputMessage="1" showErrorMessage="1" sqref="S12" xr:uid="{00000000-0002-0000-0400-00000D000000}">
      <formula1>"1,2,4"</formula1>
    </dataValidation>
    <dataValidation type="whole" allowBlank="1" showInputMessage="1" showErrorMessage="1" sqref="D7:I7 I68:I92 D130:H130 I95:I130" xr:uid="{00000000-0002-0000-0400-00000E000000}">
      <formula1>0</formula1>
      <formula2>700</formula2>
    </dataValidation>
    <dataValidation type="list" allowBlank="1" showInputMessage="1" showErrorMessage="1" sqref="C180:C266 C269:C272" xr:uid="{0696A9BD-CA38-48D3-8BB3-0F75A3F808A8}">
      <formula1>$C$180:$C$272</formula1>
    </dataValidation>
    <dataValidation type="list" allowBlank="1" showInputMessage="1" showErrorMessage="1" sqref="K180:K272 C267:C268 C123:C124 C118:C121 K282:K374 S282:S374 C9:C13 C15:C22 C24:C30 C32:C35 C37:C40 C42:C46 C48:C59 C61:C65 C68:C76 C78:C81 C83:C86 C88:C92 C95:C99 C107:C112 C101:C105 C114:C116 C282:C374 C126:C129" xr:uid="{91771270-4942-4FB5-8F72-41F84A064D1E}">
      <formula1>$K$180:$K$272</formula1>
    </dataValidation>
  </dataValidations>
  <hyperlinks>
    <hyperlink ref="C94" r:id="rId1" location="f-series" xr:uid="{00000000-0004-0000-0400-000000000000}"/>
    <hyperlink ref="C100" r:id="rId2" location="fs-series" xr:uid="{00000000-0004-0000-0400-000001000000}"/>
    <hyperlink ref="C106" r:id="rId3" location="fsv2-series" xr:uid="{00000000-0004-0000-0400-000002000000}"/>
    <hyperlink ref="E131" r:id="rId4" location="consideration-for-total-number-of-vms" xr:uid="{00000000-0004-0000-0400-000003000000}"/>
    <hyperlink ref="K12" r:id="rId5" location="azure-stack-hub-memory" xr:uid="{3D7DA879-A0B1-4B89-9A65-42656AD1D768}"/>
  </hyperlinks>
  <pageMargins left="0.7" right="0.7" top="0.75" bottom="0.75" header="0.3" footer="0.3"/>
  <pageSetup orientation="portrait" r:id="rId6"/>
  <ignoredErrors>
    <ignoredError sqref="D130:I131" formulaRange="1"/>
  </ignoredErrors>
  <drawing r:id="rId7"/>
  <extLst>
    <ext xmlns:x14="http://schemas.microsoft.com/office/spreadsheetml/2009/9/main" uri="{CCE6A557-97BC-4b89-ADB6-D9C93CAAB3DF}">
      <x14:dataValidations xmlns:xm="http://schemas.microsoft.com/office/excel/2006/main" xWindow="155" yWindow="734" count="4">
        <x14:dataValidation type="list" allowBlank="1" showInputMessage="1" showErrorMessage="1" xr:uid="{00000000-0002-0000-0400-00000F000000}">
          <x14:formula1>
            <xm:f>Reference_AzureStackInputs!$A$2:$A$14</xm:f>
          </x14:formula1>
          <xm:sqref>L4:Q4</xm:sqref>
        </x14:dataValidation>
        <x14:dataValidation type="list" allowBlank="1" showInputMessage="1" showErrorMessage="1" xr:uid="{00000000-0002-0000-0400-000011000000}">
          <x14:formula1>
            <xm:f>Ref_WorkloadSolutionSizing_RPs!$A$3:$A$6</xm:f>
          </x14:formula1>
          <xm:sqref>D5:H5</xm:sqref>
        </x14:dataValidation>
        <x14:dataValidation type="list" allowBlank="1" showInputMessage="1" showErrorMessage="1" xr:uid="{00000000-0002-0000-0400-000012000000}">
          <x14:formula1>
            <xm:f>Ref_WorkloadSolutionSizing_RPs!$B$3:$B$6</xm:f>
          </x14:formula1>
          <xm:sqref>D6:H6</xm:sqref>
        </x14:dataValidation>
        <x14:dataValidation type="list" allowBlank="1" showInputMessage="1" showErrorMessage="1" xr:uid="{70F4DF18-6387-40E7-A033-A118B12C5B83}">
          <x14:formula1>
            <xm:f>SKUsRecommendationPage!$D$13:$I$13</xm:f>
          </x14:formula1>
          <xm:sqref>S5:U5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86352-6002-436F-A77E-C3086034C1DD}">
  <sheetPr codeName="Sheet13"/>
  <dimension ref="B1:R50"/>
  <sheetViews>
    <sheetView workbookViewId="0">
      <selection activeCell="C15" sqref="C15"/>
    </sheetView>
  </sheetViews>
  <sheetFormatPr defaultColWidth="8.85546875" defaultRowHeight="15" x14ac:dyDescent="0.25"/>
  <cols>
    <col min="2" max="2" width="27.5703125" customWidth="1"/>
    <col min="3" max="3" width="17" customWidth="1"/>
    <col min="4" max="4" width="13.85546875" customWidth="1"/>
    <col min="5" max="5" width="14.28515625" customWidth="1"/>
    <col min="6" max="6" width="12.7109375" bestFit="1" customWidth="1"/>
    <col min="9" max="9" width="11.5703125" customWidth="1"/>
  </cols>
  <sheetData>
    <row r="1" spans="2:18" s="144" customFormat="1" ht="30" customHeight="1" x14ac:dyDescent="0.25">
      <c r="B1" s="208"/>
      <c r="C1" s="145" t="s">
        <v>314</v>
      </c>
      <c r="D1" s="208"/>
      <c r="E1" s="208"/>
      <c r="F1" s="208"/>
      <c r="G1" s="208"/>
      <c r="H1" s="208"/>
      <c r="I1" s="208"/>
      <c r="J1" s="208"/>
      <c r="K1" s="208"/>
      <c r="L1" s="208"/>
      <c r="M1" s="208"/>
      <c r="N1" s="208"/>
      <c r="O1" s="208"/>
      <c r="P1" s="208"/>
      <c r="Q1" s="208"/>
      <c r="R1" s="145" t="s">
        <v>314</v>
      </c>
    </row>
    <row r="2" spans="2:18" x14ac:dyDescent="0.25">
      <c r="C2" s="51"/>
      <c r="R2" s="51"/>
    </row>
    <row r="3" spans="2:18" x14ac:dyDescent="0.25">
      <c r="B3" s="710" t="s">
        <v>395</v>
      </c>
      <c r="C3" s="711"/>
      <c r="D3" s="711"/>
      <c r="E3" s="711"/>
      <c r="F3" s="711"/>
      <c r="G3" s="712"/>
    </row>
    <row r="4" spans="2:18" x14ac:dyDescent="0.25">
      <c r="B4" s="713"/>
      <c r="C4" s="714"/>
      <c r="D4" s="714"/>
      <c r="E4" s="714"/>
      <c r="F4" s="714"/>
      <c r="G4" s="715"/>
    </row>
    <row r="5" spans="2:18" x14ac:dyDescent="0.25">
      <c r="B5" s="139"/>
      <c r="C5" s="139"/>
      <c r="D5" s="139"/>
    </row>
    <row r="6" spans="2:18" x14ac:dyDescent="0.25">
      <c r="B6" s="138" t="s">
        <v>396</v>
      </c>
      <c r="C6" s="138" t="s">
        <v>397</v>
      </c>
      <c r="D6" s="138" t="s">
        <v>707</v>
      </c>
      <c r="E6" s="138" t="s">
        <v>706</v>
      </c>
      <c r="F6" s="138" t="s">
        <v>88</v>
      </c>
      <c r="G6" s="138"/>
      <c r="I6" s="140" t="s">
        <v>396</v>
      </c>
      <c r="J6" s="140" t="s">
        <v>398</v>
      </c>
      <c r="K6" s="140"/>
    </row>
    <row r="7" spans="2:18" x14ac:dyDescent="0.25">
      <c r="B7" s="44" t="s">
        <v>306</v>
      </c>
      <c r="C7">
        <v>1</v>
      </c>
      <c r="D7">
        <v>1</v>
      </c>
      <c r="E7">
        <v>1</v>
      </c>
      <c r="F7">
        <v>0</v>
      </c>
      <c r="I7" t="s">
        <v>306</v>
      </c>
      <c r="J7" s="142">
        <v>8</v>
      </c>
      <c r="K7" s="140"/>
    </row>
    <row r="8" spans="2:18" x14ac:dyDescent="0.25">
      <c r="B8" s="44" t="s">
        <v>308</v>
      </c>
      <c r="I8" t="s">
        <v>308</v>
      </c>
      <c r="J8" s="142">
        <v>4</v>
      </c>
      <c r="K8" s="140"/>
    </row>
    <row r="9" spans="2:18" x14ac:dyDescent="0.25">
      <c r="B9" s="44" t="s">
        <v>310</v>
      </c>
      <c r="I9" t="s">
        <v>310</v>
      </c>
      <c r="J9" s="142">
        <v>2</v>
      </c>
      <c r="K9" s="140"/>
    </row>
    <row r="10" spans="2:18" x14ac:dyDescent="0.25">
      <c r="B10" s="44">
        <v>1</v>
      </c>
      <c r="I10" s="44">
        <v>1</v>
      </c>
      <c r="J10" s="142">
        <v>1</v>
      </c>
      <c r="K10" s="140"/>
    </row>
    <row r="11" spans="2:18" x14ac:dyDescent="0.25">
      <c r="J11" s="140"/>
    </row>
    <row r="13" spans="2:18" x14ac:dyDescent="0.25">
      <c r="B13" s="710" t="s">
        <v>399</v>
      </c>
      <c r="C13" s="711"/>
      <c r="D13" s="711"/>
      <c r="E13" s="711"/>
      <c r="F13" s="711"/>
      <c r="G13" s="712"/>
    </row>
    <row r="14" spans="2:18" x14ac:dyDescent="0.25">
      <c r="B14" s="713"/>
      <c r="C14" s="714"/>
      <c r="D14" s="714"/>
      <c r="E14" s="714"/>
      <c r="F14" s="714"/>
      <c r="G14" s="715"/>
    </row>
    <row r="15" spans="2:18" x14ac:dyDescent="0.25">
      <c r="B15" s="191" t="s">
        <v>400</v>
      </c>
      <c r="C15" s="15" t="str">
        <f>IF(Sku_6_GPU_Type="N/A","false","true")</f>
        <v>true</v>
      </c>
      <c r="D15" s="16"/>
      <c r="E15" s="16"/>
      <c r="F15" s="16"/>
      <c r="G15" s="16"/>
    </row>
    <row r="16" spans="2:18" ht="30" x14ac:dyDescent="0.25">
      <c r="B16" s="191" t="s">
        <v>401</v>
      </c>
      <c r="C16" s="15" t="str" cm="1">
        <f t="array" ref="C16">IF([0]!Sku_6_GPU_Type={"AMD_Mi25"},"true","false")</f>
        <v>false</v>
      </c>
      <c r="D16" s="191" t="s">
        <v>711</v>
      </c>
      <c r="E16" s="15" t="str" cm="1">
        <f t="array" ref="E16">IF([0]!Sku_6_GPU_Type={"NVIDIA_A100"},"true","false")</f>
        <v>false</v>
      </c>
      <c r="F16" s="16"/>
      <c r="G16" s="16"/>
    </row>
    <row r="17" spans="2:15" ht="30" x14ac:dyDescent="0.25">
      <c r="B17" s="191" t="s">
        <v>402</v>
      </c>
      <c r="C17" s="15" t="str" cm="1">
        <f t="array" ref="C17">IF([0]!Sku_6_GPU_Type={"NVIDIA_v100"},"true","false")</f>
        <v>true</v>
      </c>
      <c r="D17" s="191" t="s">
        <v>403</v>
      </c>
      <c r="E17" s="15" t="str" cm="1">
        <f t="array" ref="E17">IF([0]!Sku_6_GPU_Type={"NVIDIA_T4"},"true","false")</f>
        <v>false</v>
      </c>
      <c r="F17" s="16"/>
      <c r="G17" s="16"/>
    </row>
    <row r="18" spans="2:15" x14ac:dyDescent="0.25">
      <c r="B18" s="191" t="s">
        <v>90</v>
      </c>
      <c r="C18" s="15">
        <f>IF(AMD_GPUType_Selection_Check="true", Sku_6_GPU_Partition_Number, 1)</f>
        <v>1</v>
      </c>
      <c r="D18" s="19">
        <f>VLOOKUP(Selected_GPU_Partition_Number,I7:J10, 2,FALSE)</f>
        <v>1</v>
      </c>
      <c r="E18" s="16"/>
      <c r="F18" s="16"/>
      <c r="G18" s="16"/>
      <c r="H18" s="16"/>
      <c r="I18" s="16"/>
      <c r="J18" s="16"/>
      <c r="L18" s="710" t="s">
        <v>404</v>
      </c>
      <c r="M18" s="711"/>
      <c r="N18" s="711"/>
      <c r="O18" s="712"/>
    </row>
    <row r="19" spans="2:15" ht="15.75" thickBot="1" x14ac:dyDescent="0.3">
      <c r="L19" s="713"/>
      <c r="M19" s="714"/>
      <c r="N19" s="714"/>
      <c r="O19" s="715"/>
    </row>
    <row r="20" spans="2:15" ht="16.5" thickBot="1" x14ac:dyDescent="0.3">
      <c r="B20" s="141" t="s">
        <v>405</v>
      </c>
      <c r="C20" s="52" t="s">
        <v>132</v>
      </c>
      <c r="D20" s="52" t="s">
        <v>133</v>
      </c>
      <c r="E20" s="52" t="s">
        <v>134</v>
      </c>
      <c r="F20" s="52" t="s">
        <v>135</v>
      </c>
      <c r="G20" s="52" t="s">
        <v>136</v>
      </c>
      <c r="H20" s="52" t="s">
        <v>137</v>
      </c>
      <c r="M20" t="s">
        <v>406</v>
      </c>
      <c r="N20" t="s">
        <v>249</v>
      </c>
      <c r="O20" t="s">
        <v>407</v>
      </c>
    </row>
    <row r="21" spans="2:15" ht="16.5" thickBot="1" x14ac:dyDescent="0.3">
      <c r="B21" s="47" t="s">
        <v>140</v>
      </c>
      <c r="C21" s="14">
        <f>Sku_1_Servers</f>
        <v>4</v>
      </c>
      <c r="D21" s="14">
        <f>Sku_2_Servers</f>
        <v>8</v>
      </c>
      <c r="E21" s="14">
        <f>Sku_3_Servers</f>
        <v>8</v>
      </c>
      <c r="F21" s="14">
        <f>Sku_4_Servers</f>
        <v>8</v>
      </c>
      <c r="G21" s="14">
        <f>Sku_5_Servers</f>
        <v>12</v>
      </c>
      <c r="H21">
        <f>Sku_6_Servers</f>
        <v>16</v>
      </c>
      <c r="L21" t="s">
        <v>132</v>
      </c>
      <c r="M21">
        <f>Sku_1_Available_GPU_Number</f>
        <v>0</v>
      </c>
      <c r="N21">
        <f>Sku_1_Consumed_GPU</f>
        <v>0</v>
      </c>
      <c r="O21" s="1" t="e">
        <f>(Sku_1_Available_GPU_Number-Sku_1_Consumed_GPU)/Sku_1_Available_GPU_Number</f>
        <v>#DIV/0!</v>
      </c>
    </row>
    <row r="22" spans="2:15" ht="16.5" thickBot="1" x14ac:dyDescent="0.3">
      <c r="B22" s="72" t="s">
        <v>142</v>
      </c>
      <c r="C22">
        <f>Sku_1_Total_Cores</f>
        <v>53.099999999999994</v>
      </c>
      <c r="D22">
        <f>Sku_2_Total_Cores</f>
        <v>142.69999999999999</v>
      </c>
      <c r="E22">
        <f>Sku_3_Total_Cores</f>
        <v>142.69999999999999</v>
      </c>
      <c r="F22">
        <f>Sku_4_Total_Cores</f>
        <v>193.9</v>
      </c>
      <c r="G22">
        <f>Sku_5_Total_Cores</f>
        <v>385.9</v>
      </c>
      <c r="H22">
        <f>Sku_6_Total_Cores</f>
        <v>1294.7</v>
      </c>
      <c r="L22" t="s">
        <v>133</v>
      </c>
      <c r="M22">
        <f>Sku_2_Available_GPU_Number</f>
        <v>0</v>
      </c>
      <c r="N22">
        <f>Sku_2_Consumed_GPU</f>
        <v>0</v>
      </c>
      <c r="O22" s="1" t="e">
        <f>(Sku_2_Available_GPU_Number-Sku_2_Consumed_GPU)/Sku_2_Available_GPU_Number</f>
        <v>#DIV/0!</v>
      </c>
    </row>
    <row r="23" spans="2:15" ht="15.75" x14ac:dyDescent="0.25">
      <c r="B23" s="47" t="s">
        <v>152</v>
      </c>
      <c r="C23">
        <f>Sku_1_Memory_for_VMs</f>
        <v>348.79999999999995</v>
      </c>
      <c r="D23">
        <f>Sku_2_Memory_for_VMs</f>
        <v>2670.4</v>
      </c>
      <c r="E23">
        <f>Sku_3_Memory_for_VMs</f>
        <v>2670.4</v>
      </c>
      <c r="F23">
        <f>Sku_4_Memory_for_VMs</f>
        <v>2670.4</v>
      </c>
      <c r="G23">
        <f>Sku_5_Memory_for_VMs</f>
        <v>6732.8</v>
      </c>
      <c r="H23">
        <f>Sku_6_Memory_for_VMs</f>
        <v>19064</v>
      </c>
      <c r="L23" t="s">
        <v>134</v>
      </c>
      <c r="M23">
        <f>Sku_3_Available_GPU_Number</f>
        <v>0</v>
      </c>
      <c r="N23">
        <f>Sku_3_Consumed_GPU</f>
        <v>0</v>
      </c>
      <c r="O23" s="1" t="e">
        <f>(Sku_3_Available_GPU_Number-Sku_3_Consumed_GPU)/Sku_3_Available_GPU_Number</f>
        <v>#DIV/0!</v>
      </c>
    </row>
    <row r="24" spans="2:15" ht="15.75" x14ac:dyDescent="0.25">
      <c r="B24" s="47" t="s">
        <v>154</v>
      </c>
      <c r="C24">
        <f>Sku_1_Temp_Disk_Value</f>
        <v>3.3954468866189327</v>
      </c>
      <c r="D24">
        <f>Sku_2_Temp_Disk_Value</f>
        <v>10.186340659856796</v>
      </c>
      <c r="E24">
        <f>Sku_3_Temp_Disk_Value</f>
        <v>6.5192580223083496</v>
      </c>
      <c r="F24">
        <f>Sku_4_Temp_Disk_Value</f>
        <v>14.551915228366852</v>
      </c>
      <c r="G24">
        <f>Sku_5_Temp_Disk_Value</f>
        <v>26.193447411060333</v>
      </c>
      <c r="H24">
        <f>Sku_6_Temp_Disk_Value</f>
        <v>85.681676864624023</v>
      </c>
      <c r="L24" t="s">
        <v>135</v>
      </c>
      <c r="M24">
        <f>Sku_4_Available_GPU_Number</f>
        <v>0</v>
      </c>
      <c r="N24">
        <f>Sku_4_Consumed_GPU</f>
        <v>0</v>
      </c>
      <c r="O24" s="1" t="e">
        <f>(Sku_4_Available_GPU_Number-Sku_4_Consumed_GPU)/Sku_4_Available_GPU_Number</f>
        <v>#DIV/0!</v>
      </c>
    </row>
    <row r="25" spans="2:15" ht="15.75" x14ac:dyDescent="0.25">
      <c r="B25" s="47" t="s">
        <v>158</v>
      </c>
      <c r="C25">
        <f>Sku_1_Total_Storage</f>
        <v>27.141053229570389</v>
      </c>
      <c r="D25">
        <f>Sku_2_Total_Storage</f>
        <v>88.259097188711166</v>
      </c>
      <c r="E25">
        <f>Sku_3_Total_Storage</f>
        <v>55.255353450775146</v>
      </c>
      <c r="F25">
        <f>Sku_4_Total_Storage</f>
        <v>127.54926830530167</v>
      </c>
      <c r="G25">
        <f>Sku_5_Total_Storage</f>
        <v>232.323057949543</v>
      </c>
      <c r="H25">
        <f>Sku_6_Total_Storage</f>
        <v>767.7171230316161</v>
      </c>
      <c r="L25" t="s">
        <v>136</v>
      </c>
      <c r="M25">
        <f>Sku_5_Available_GPU_Number</f>
        <v>0</v>
      </c>
      <c r="N25">
        <f>Sku_5_Consumed_GPU</f>
        <v>0</v>
      </c>
      <c r="O25" s="1" t="e">
        <f>(Sku_5_Available_GPU_Number-Sku_5_Consumed_GPU)/Sku_5_Available_GPU_Number</f>
        <v>#DIV/0!</v>
      </c>
    </row>
    <row r="26" spans="2:15" ht="15.75" x14ac:dyDescent="0.25">
      <c r="B26" s="47" t="s">
        <v>89</v>
      </c>
      <c r="C26">
        <f>IF(GPUTypeSelected="true",IF(AMD_GPUType_Selection_Check="true", sku_6_AMD_converted_partition_number*Sku_1_Servers*Sku_1_GPU_Number, Sku_1_GPU_Number *Sku_1_Servers),0)</f>
        <v>0</v>
      </c>
      <c r="D26">
        <f>IF(GPUTypeSelected="true",IF(AMD_GPUType_Selection_Check="true", sku_6_AMD_converted_partition_number*Sku_2_Servers*Sku_2_GPU_Number, Sku_2_GPU_Number *Sku_2_Servers),0)</f>
        <v>0</v>
      </c>
      <c r="E26">
        <f>IF(GPUTypeSelected="true",IF(AMD_GPUType_Selection_Check="true", sku_6_AMD_converted_partition_number*Sku_3_Servers*Sku_3_GPU_Number, Sku_3_GPU_Number *Sku_3_Servers),0)</f>
        <v>0</v>
      </c>
      <c r="F26">
        <f>IF(GPUTypeSelected="true",IF(AMD_GPUType_Selection_Check="true", sku_6_AMD_converted_partition_number*Sku_4_Servers*Sku_4_GPU_Number, Sku_4_GPU_Number *Sku_4_Servers),0)</f>
        <v>0</v>
      </c>
      <c r="G26">
        <f>IF(GPUTypeSelected="true",IF(AMD_GPUType_Selection_Check="true", sku_6_AMD_converted_partition_number*Sku_5_Servers*Sku_5_GPU_Number, Sku_5_GPU_Number *Sku_5_Servers),0)</f>
        <v>0</v>
      </c>
      <c r="H26">
        <f>IF(GPUTypeSelected="true",IF(AMD_GPUType_Selection_Check="true", sku_6_AMD_converted_partition_number*Sku_6_Servers*Sku_6_GPU_Number, Sku_6_GPU_Number *Sku_6_Servers),0)</f>
        <v>32</v>
      </c>
      <c r="L26" t="s">
        <v>137</v>
      </c>
      <c r="M26">
        <f>Sku_6_Available_GPU_Number</f>
        <v>32</v>
      </c>
      <c r="N26">
        <f>Sku_6_Consumed_GPU</f>
        <v>0</v>
      </c>
      <c r="O26" s="1">
        <f>(Sku_6_Available_GPU_Number-Sku_6_Consumed_GPU)/Sku_6_Available_GPU_Number</f>
        <v>1</v>
      </c>
    </row>
    <row r="27" spans="2:15" ht="15.75" x14ac:dyDescent="0.25">
      <c r="B27" s="47" t="s">
        <v>408</v>
      </c>
      <c r="C27">
        <f t="shared" ref="C27:H27" si="0">IF(GPUTypeSelected="true",IF(AMD_GPUType_Selection_Check="true",NVV4_Total_GPU, NCastT4_V3_Series_Total_GPU + NCv3_Series_Total_GPU+NC24ads_A100_v4_Series_Total_GPU),0)</f>
        <v>0</v>
      </c>
      <c r="D27">
        <f t="shared" si="0"/>
        <v>0</v>
      </c>
      <c r="E27">
        <f t="shared" si="0"/>
        <v>0</v>
      </c>
      <c r="F27">
        <f t="shared" si="0"/>
        <v>0</v>
      </c>
      <c r="G27">
        <f t="shared" si="0"/>
        <v>0</v>
      </c>
      <c r="H27">
        <f t="shared" si="0"/>
        <v>0</v>
      </c>
    </row>
    <row r="28" spans="2:15" ht="15.75" x14ac:dyDescent="0.25">
      <c r="B28" s="146" t="s">
        <v>409</v>
      </c>
      <c r="C28" s="190"/>
      <c r="D28" s="190"/>
      <c r="E28" s="190"/>
      <c r="F28" s="190"/>
      <c r="G28" s="190"/>
      <c r="H28" s="147">
        <f>IF(AMD_GPUType_Selection_Check="true", NVV4_Total_GPUMemory*Sku_6_Servers, (NCasT4_V3_Series_Total_GPUMemory + NCv3_Series_Total_GPUMemory)*Sku_6_Servers)</f>
        <v>0</v>
      </c>
      <c r="L28" s="710" t="s">
        <v>410</v>
      </c>
      <c r="M28" s="711"/>
      <c r="N28" s="711"/>
      <c r="O28" s="712"/>
    </row>
    <row r="29" spans="2:15" x14ac:dyDescent="0.25">
      <c r="L29" s="713"/>
      <c r="M29" s="714"/>
      <c r="N29" s="714"/>
      <c r="O29" s="715"/>
    </row>
    <row r="30" spans="2:15" ht="15.75" x14ac:dyDescent="0.25">
      <c r="B30" s="47" t="s">
        <v>411</v>
      </c>
      <c r="C30">
        <f>IF(GPUTypeSelected="true",IF(AMD_GPUType_Selection_Check="true", sku_6_AMD_converted_partition_number*Sku_1_Tenant_Servers*Sku_1_GPU_Number, Sku_1_GPU_Number *Sku_1_Tenant_Servers),0)</f>
        <v>0</v>
      </c>
      <c r="D30">
        <f>IF(GPUTypeSelected="true",IF(AMD_GPUType_Selection_Check="true", sku_6_AMD_converted_partition_number*Sku_2_Tenant_Servers*Sku_2_GPU_Number, Sku_2_GPU_Number *Sku_2_Tenant_Servers),0)</f>
        <v>0</v>
      </c>
      <c r="E30">
        <f>IF(GPUTypeSelected="true",IF(AMD_GPUType_Selection_Check="true", sku_6_AMD_converted_partition_number*Sku_3_Tenant_Servers*Sku_3_GPU_Number, Sku_3_GPU_Number *Sku_3_Tenant_Servers),0)</f>
        <v>0</v>
      </c>
      <c r="F30">
        <f>IF(GPUTypeSelected="true",IF(AMD_GPUType_Selection_Check="true", sku_6_AMD_converted_partition_number*Sku_4_Tenant_Servers*Sku_4_GPU_Number, Sku_4_GPU_Number *Sku_4_Tenant_Servers),0)</f>
        <v>0</v>
      </c>
      <c r="G30">
        <f>IF(GPUTypeSelected="true",IF(AMD_GPUType_Selection_Check="true", sku_6_AMD_converted_partition_number*Sku_5_Tenant_Servers*Sku_5_GPU_Number, Sku_5_GPU_Number *Sku_5_Tenant_Servers),0)</f>
        <v>0</v>
      </c>
      <c r="H30">
        <f>IF(GPUTypeSelected="true",IF(AMD_GPUType_Selection_Check="true", sku_6_AMD_converted_partition_number*Sku_6_Tenant_Servers*Sku_6_GPU_Number, Sku_6_GPU_Number *Sku_6_Tenant_Servers),0)</f>
        <v>32</v>
      </c>
      <c r="L30" t="s">
        <v>137</v>
      </c>
      <c r="M30" t="s">
        <v>406</v>
      </c>
      <c r="N30" t="s">
        <v>249</v>
      </c>
      <c r="O30" t="s">
        <v>412</v>
      </c>
    </row>
    <row r="31" spans="2:15" ht="16.5" x14ac:dyDescent="0.25">
      <c r="B31" s="148"/>
      <c r="C31" s="148"/>
      <c r="D31" s="148"/>
      <c r="M31">
        <f>Sku6_Tenant_Total_GPU</f>
        <v>32</v>
      </c>
      <c r="N31">
        <f>Total_Consumed_Tenant_CustomWorkload_GPU</f>
        <v>0</v>
      </c>
      <c r="O31" s="1">
        <f>(Sku6_Tenant_Total_GPU-Total_Consumed_Tenant_CustomWorkload_GPU)/Sku6_Tenant_Total_GPU</f>
        <v>1</v>
      </c>
    </row>
    <row r="33" spans="2:6" x14ac:dyDescent="0.25">
      <c r="B33" s="710" t="s">
        <v>413</v>
      </c>
      <c r="C33" s="711"/>
      <c r="D33" s="712"/>
    </row>
    <row r="34" spans="2:6" x14ac:dyDescent="0.25">
      <c r="B34" s="713"/>
      <c r="C34" s="714"/>
      <c r="D34" s="715"/>
    </row>
    <row r="36" spans="2:6" ht="16.5" x14ac:dyDescent="0.3">
      <c r="B36" s="700" t="s">
        <v>414</v>
      </c>
      <c r="C36" s="700"/>
      <c r="F36" s="149"/>
    </row>
    <row r="37" spans="2:6" x14ac:dyDescent="0.25">
      <c r="B37" s="701" t="s">
        <v>415</v>
      </c>
      <c r="C37" s="702"/>
      <c r="D37" s="703"/>
    </row>
    <row r="38" spans="2:6" x14ac:dyDescent="0.25">
      <c r="B38" s="704"/>
      <c r="C38" s="705"/>
      <c r="D38" s="706"/>
    </row>
    <row r="39" spans="2:6" x14ac:dyDescent="0.25">
      <c r="B39" s="704"/>
      <c r="C39" s="705"/>
      <c r="D39" s="706"/>
    </row>
    <row r="40" spans="2:6" x14ac:dyDescent="0.25">
      <c r="B40" s="704"/>
      <c r="C40" s="705"/>
      <c r="D40" s="706"/>
    </row>
    <row r="41" spans="2:6" x14ac:dyDescent="0.25">
      <c r="B41" s="704"/>
      <c r="C41" s="705"/>
      <c r="D41" s="706"/>
    </row>
    <row r="42" spans="2:6" x14ac:dyDescent="0.25">
      <c r="B42" s="704"/>
      <c r="C42" s="705"/>
      <c r="D42" s="706"/>
    </row>
    <row r="43" spans="2:6" x14ac:dyDescent="0.25">
      <c r="B43" s="704"/>
      <c r="C43" s="705"/>
      <c r="D43" s="706"/>
    </row>
    <row r="44" spans="2:6" ht="28.35" customHeight="1" x14ac:dyDescent="0.25">
      <c r="B44" s="707"/>
      <c r="C44" s="708"/>
      <c r="D44" s="709"/>
    </row>
    <row r="46" spans="2:6" x14ac:dyDescent="0.25">
      <c r="B46" t="s">
        <v>416</v>
      </c>
    </row>
    <row r="47" spans="2:6" x14ac:dyDescent="0.25">
      <c r="B47" t="s">
        <v>417</v>
      </c>
    </row>
    <row r="50" spans="2:2" ht="85.5" x14ac:dyDescent="0.25">
      <c r="B50" s="198" t="s">
        <v>418</v>
      </c>
    </row>
  </sheetData>
  <mergeCells count="7">
    <mergeCell ref="B36:C36"/>
    <mergeCell ref="B37:D44"/>
    <mergeCell ref="B3:G4"/>
    <mergeCell ref="B13:G14"/>
    <mergeCell ref="L28:O29"/>
    <mergeCell ref="B33:D34"/>
    <mergeCell ref="L18:O19"/>
  </mergeCells>
  <phoneticPr fontId="40"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B2:AN66"/>
  <sheetViews>
    <sheetView topLeftCell="K8" zoomScale="80" zoomScaleNormal="80" workbookViewId="0">
      <selection activeCell="AM29" sqref="AH29:AM29"/>
    </sheetView>
  </sheetViews>
  <sheetFormatPr defaultColWidth="8.85546875" defaultRowHeight="15" x14ac:dyDescent="0.25"/>
  <cols>
    <col min="1" max="1" width="3.42578125" customWidth="1"/>
    <col min="2" max="2" width="26" customWidth="1"/>
    <col min="3" max="3" width="1.42578125" customWidth="1"/>
    <col min="4" max="4" width="12.140625" customWidth="1"/>
    <col min="5" max="5" width="12" customWidth="1"/>
    <col min="6" max="6" width="13.140625" customWidth="1"/>
    <col min="7" max="7" width="13" customWidth="1"/>
    <col min="8" max="8" width="14.140625" customWidth="1"/>
    <col min="9" max="9" width="13.5703125" bestFit="1" customWidth="1"/>
    <col min="10" max="10" width="11.42578125" bestFit="1" customWidth="1"/>
    <col min="11" max="11" width="11.42578125" customWidth="1"/>
    <col min="12" max="12" width="13.140625" customWidth="1"/>
    <col min="13" max="13" width="9.42578125" customWidth="1"/>
    <col min="14" max="14" width="28" bestFit="1" customWidth="1"/>
    <col min="21" max="21" width="9.42578125" customWidth="1"/>
    <col min="22" max="22" width="4.140625" customWidth="1"/>
    <col min="24" max="24" width="10.140625" customWidth="1"/>
    <col min="25" max="25" width="14.140625" customWidth="1"/>
    <col min="30" max="30" width="11.140625" customWidth="1"/>
    <col min="32" max="32" width="5.5703125" customWidth="1"/>
    <col min="33" max="33" width="9.42578125" customWidth="1"/>
    <col min="34" max="34" width="16" customWidth="1"/>
  </cols>
  <sheetData>
    <row r="2" spans="2:34" ht="27" thickBot="1" x14ac:dyDescent="0.45">
      <c r="L2" s="80" t="s">
        <v>419</v>
      </c>
      <c r="P2" s="81"/>
      <c r="Q2" s="81"/>
      <c r="R2" s="81"/>
    </row>
    <row r="3" spans="2:34" ht="19.5" thickBot="1" x14ac:dyDescent="0.35">
      <c r="B3" s="76" t="s">
        <v>420</v>
      </c>
      <c r="C3" s="209"/>
      <c r="D3" s="52" t="s">
        <v>132</v>
      </c>
      <c r="E3" s="46" t="s">
        <v>133</v>
      </c>
      <c r="F3" s="52" t="s">
        <v>134</v>
      </c>
      <c r="G3" s="46" t="s">
        <v>135</v>
      </c>
      <c r="H3" s="52" t="s">
        <v>136</v>
      </c>
      <c r="I3" s="52" t="s">
        <v>137</v>
      </c>
      <c r="Q3" s="79"/>
      <c r="R3" s="79"/>
      <c r="S3" s="79"/>
    </row>
    <row r="4" spans="2:34" ht="16.5" thickBot="1" x14ac:dyDescent="0.3">
      <c r="B4" s="47" t="s">
        <v>138</v>
      </c>
      <c r="C4" s="209"/>
      <c r="D4" s="49" t="str">
        <f>DefinedSolutionSKUs!$C$3</f>
        <v>Example 1</v>
      </c>
      <c r="E4" s="71" t="str">
        <f>DefinedSolutionSKUs!$D$3</f>
        <v>Example 2</v>
      </c>
      <c r="F4" s="49" t="str">
        <f>DefinedSolutionSKUs!$E$3</f>
        <v>Example 3</v>
      </c>
      <c r="G4" s="71" t="str">
        <f>DefinedSolutionSKUs!$F$3</f>
        <v>Example 4</v>
      </c>
      <c r="H4" s="49" t="str">
        <f>DefinedSolutionSKUs!$G$3</f>
        <v>Example 5</v>
      </c>
      <c r="I4" s="49" t="str">
        <f>DefinedSolutionSKUs!$H$3</f>
        <v>Example 6</v>
      </c>
    </row>
    <row r="5" spans="2:34" ht="16.5" thickBot="1" x14ac:dyDescent="0.3">
      <c r="B5" s="72" t="s">
        <v>140</v>
      </c>
      <c r="C5" s="209"/>
      <c r="D5" s="73">
        <f>Sku_1_Servers</f>
        <v>4</v>
      </c>
      <c r="E5" s="74">
        <f>Sku_2_Servers</f>
        <v>8</v>
      </c>
      <c r="F5" s="73">
        <f>Sku_3_Servers</f>
        <v>8</v>
      </c>
      <c r="G5" s="73">
        <f>Sku_4_Servers</f>
        <v>8</v>
      </c>
      <c r="H5" s="77">
        <f>Sku_5_Servers</f>
        <v>12</v>
      </c>
      <c r="I5" s="77">
        <f>Sku_6_Servers</f>
        <v>16</v>
      </c>
      <c r="J5" s="50" t="s">
        <v>421</v>
      </c>
      <c r="K5" s="41"/>
      <c r="L5" s="41"/>
      <c r="M5" s="41"/>
      <c r="N5" s="32"/>
    </row>
    <row r="6" spans="2:34" ht="15.75" x14ac:dyDescent="0.25">
      <c r="B6" s="47" t="s">
        <v>142</v>
      </c>
      <c r="C6" s="209"/>
      <c r="D6" s="210">
        <f>Sku_1_Total_Cores</f>
        <v>53.099999999999994</v>
      </c>
      <c r="E6" s="210">
        <f>Sku_2_Total_Cores</f>
        <v>142.69999999999999</v>
      </c>
      <c r="F6" s="210">
        <f>Sku_3_Total_Cores</f>
        <v>142.69999999999999</v>
      </c>
      <c r="G6" s="210">
        <f>Sku_4_Total_Cores</f>
        <v>193.9</v>
      </c>
      <c r="H6" s="210">
        <f>Sku_5_Total_Cores</f>
        <v>385.9</v>
      </c>
      <c r="I6" s="210">
        <f>Sku_6_Total_Cores</f>
        <v>1294.7</v>
      </c>
    </row>
    <row r="7" spans="2:34" ht="19.5" customHeight="1" thickBot="1" x14ac:dyDescent="0.3">
      <c r="B7" s="47" t="s">
        <v>152</v>
      </c>
      <c r="C7" s="209"/>
      <c r="D7" s="210">
        <f>Sku_1_Memory_for_VMs</f>
        <v>348.79999999999995</v>
      </c>
      <c r="E7" s="210">
        <f>Sku_2_Memory_for_VMs</f>
        <v>2670.4</v>
      </c>
      <c r="F7" s="210">
        <f>Sku_3_Memory_for_VMs</f>
        <v>2670.4</v>
      </c>
      <c r="G7" s="210">
        <f>Sku_4_Memory_for_VMs</f>
        <v>2670.4</v>
      </c>
      <c r="H7" s="210">
        <f>Sku_5_Memory_for_VMs</f>
        <v>6732.8</v>
      </c>
      <c r="I7" s="210">
        <f>Sku_6_Memory_for_VMs</f>
        <v>19064</v>
      </c>
      <c r="AF7" s="51"/>
      <c r="AG7" s="51"/>
      <c r="AH7" s="51"/>
    </row>
    <row r="8" spans="2:34" ht="19.5" customHeight="1" x14ac:dyDescent="0.3">
      <c r="B8" s="47" t="s">
        <v>154</v>
      </c>
      <c r="C8" s="209"/>
      <c r="D8" s="210">
        <f>Sku_1_Temp_Disk_Value</f>
        <v>3.3954468866189327</v>
      </c>
      <c r="E8" s="210">
        <f>Sku_2_Temp_Disk_Value</f>
        <v>10.186340659856796</v>
      </c>
      <c r="F8" s="210">
        <f>Sku_3_Temp_Disk_Value</f>
        <v>6.5192580223083496</v>
      </c>
      <c r="G8" s="210">
        <f>Sku_4_Temp_Disk_Value</f>
        <v>14.551915228366852</v>
      </c>
      <c r="H8" s="210">
        <f>Sku_5_Temp_Disk_Value</f>
        <v>26.193447411060333</v>
      </c>
      <c r="I8" s="210">
        <f>Sku_6_Temp_Disk_Value</f>
        <v>85.681676864624023</v>
      </c>
      <c r="K8" s="82" t="s">
        <v>422</v>
      </c>
      <c r="L8" s="83"/>
      <c r="M8" s="83"/>
      <c r="N8" s="83"/>
      <c r="O8" s="84"/>
      <c r="P8" s="84"/>
      <c r="Q8" s="84"/>
      <c r="R8" s="84"/>
      <c r="S8" s="84"/>
      <c r="T8" s="84"/>
      <c r="U8" s="84"/>
      <c r="V8" s="84"/>
      <c r="W8" s="85"/>
      <c r="AB8" s="27"/>
      <c r="AC8" s="27"/>
      <c r="AD8" s="51"/>
      <c r="AE8" s="51"/>
      <c r="AF8" s="51"/>
      <c r="AG8" s="51"/>
      <c r="AH8" s="51"/>
    </row>
    <row r="9" spans="2:34" ht="19.5" customHeight="1" x14ac:dyDescent="0.3">
      <c r="B9" s="47" t="s">
        <v>158</v>
      </c>
      <c r="C9" s="209"/>
      <c r="D9" s="211">
        <f>Sku_1_Total_Storage</f>
        <v>27.141053229570389</v>
      </c>
      <c r="E9" s="155">
        <f>Sku_2_Total_Storage</f>
        <v>88.259097188711166</v>
      </c>
      <c r="F9" s="211">
        <f>Sku_3_Total_Storage</f>
        <v>55.255353450775146</v>
      </c>
      <c r="G9" s="211">
        <f>Sku_4_Total_Storage</f>
        <v>127.54926830530167</v>
      </c>
      <c r="H9" s="211">
        <f>Sku_5_Total_Storage</f>
        <v>232.323057949543</v>
      </c>
      <c r="I9" s="211">
        <f>Sku_6_Total_Storage</f>
        <v>767.7171230316161</v>
      </c>
      <c r="K9" s="86" t="s">
        <v>423</v>
      </c>
      <c r="L9" s="87"/>
      <c r="M9" s="87"/>
      <c r="N9" s="87"/>
      <c r="O9" s="88"/>
      <c r="P9" s="88"/>
      <c r="Q9" s="88"/>
      <c r="R9" s="88"/>
      <c r="S9" s="88"/>
      <c r="T9" s="88"/>
      <c r="U9" s="88"/>
      <c r="V9" s="88"/>
      <c r="W9" s="89"/>
      <c r="AC9" s="51"/>
      <c r="AD9" s="51"/>
      <c r="AE9" s="51"/>
      <c r="AF9" s="51"/>
      <c r="AG9" s="51"/>
      <c r="AH9" s="51"/>
    </row>
    <row r="10" spans="2:34" ht="19.5" customHeight="1" x14ac:dyDescent="0.3">
      <c r="K10" s="86" t="s">
        <v>424</v>
      </c>
      <c r="L10" s="87"/>
      <c r="M10" s="87"/>
      <c r="N10" s="87"/>
      <c r="O10" s="87"/>
      <c r="P10" s="87"/>
      <c r="Q10" s="87"/>
      <c r="R10" s="87"/>
      <c r="S10" s="88"/>
      <c r="T10" s="88"/>
      <c r="U10" s="88"/>
      <c r="V10" s="88"/>
      <c r="W10" s="89"/>
      <c r="AC10" s="51"/>
      <c r="AD10" s="51"/>
      <c r="AE10" s="51"/>
      <c r="AF10" s="51"/>
      <c r="AG10" s="51"/>
      <c r="AH10" s="51"/>
    </row>
    <row r="11" spans="2:34" ht="19.5" customHeight="1" thickBot="1" x14ac:dyDescent="0.35">
      <c r="K11" s="90" t="s">
        <v>425</v>
      </c>
      <c r="L11" s="91"/>
      <c r="M11" s="91"/>
      <c r="N11" s="91"/>
      <c r="O11" s="91"/>
      <c r="P11" s="91"/>
      <c r="Q11" s="91"/>
      <c r="R11" s="91"/>
      <c r="S11" s="92"/>
      <c r="T11" s="92"/>
      <c r="U11" s="92"/>
      <c r="V11" s="92"/>
      <c r="W11" s="93"/>
    </row>
    <row r="12" spans="2:34" ht="19.5" customHeight="1" thickBot="1" x14ac:dyDescent="0.35">
      <c r="B12" s="76" t="s">
        <v>426</v>
      </c>
      <c r="C12" s="209"/>
      <c r="D12" s="52" t="s">
        <v>132</v>
      </c>
      <c r="E12" s="46" t="s">
        <v>133</v>
      </c>
      <c r="F12" s="52" t="s">
        <v>134</v>
      </c>
      <c r="G12" s="46" t="s">
        <v>135</v>
      </c>
      <c r="H12" s="52" t="s">
        <v>136</v>
      </c>
      <c r="I12" s="52" t="s">
        <v>137</v>
      </c>
    </row>
    <row r="13" spans="2:34" ht="19.5" customHeight="1" thickBot="1" x14ac:dyDescent="0.3">
      <c r="B13" s="47" t="s">
        <v>138</v>
      </c>
      <c r="C13" s="209"/>
      <c r="D13" s="49" t="str">
        <f>DefinedSolutionSKUs!$C$3</f>
        <v>Example 1</v>
      </c>
      <c r="E13" s="71" t="str">
        <f>DefinedSolutionSKUs!$D$3</f>
        <v>Example 2</v>
      </c>
      <c r="F13" s="49" t="str">
        <f>DefinedSolutionSKUs!$E$3</f>
        <v>Example 3</v>
      </c>
      <c r="G13" s="71" t="str">
        <f>DefinedSolutionSKUs!$F$3</f>
        <v>Example 4</v>
      </c>
      <c r="H13" s="49" t="str">
        <f>DefinedSolutionSKUs!$G$3</f>
        <v>Example 5</v>
      </c>
      <c r="I13" s="49" t="str">
        <f>DefinedSolutionSKUs!$H$3</f>
        <v>Example 6</v>
      </c>
    </row>
    <row r="14" spans="2:34" ht="19.5" customHeight="1" thickBot="1" x14ac:dyDescent="0.3">
      <c r="B14" s="72" t="s">
        <v>140</v>
      </c>
      <c r="C14" s="209"/>
      <c r="D14" s="73">
        <f>Sku_1_Tenant_Servers</f>
        <v>4</v>
      </c>
      <c r="E14" s="74">
        <f>Sku_2_Tenant_Servers</f>
        <v>4</v>
      </c>
      <c r="F14" s="73">
        <f>Sku_3_Tenant_Servers</f>
        <v>8</v>
      </c>
      <c r="G14" s="73">
        <f>Sku_4_Tenant_Servers</f>
        <v>16</v>
      </c>
      <c r="H14" s="77">
        <f>Sku_5_Tenant_Servers</f>
        <v>4</v>
      </c>
      <c r="I14" s="77">
        <f>Sku_5_Tenant_Servers</f>
        <v>4</v>
      </c>
      <c r="J14" s="50" t="s">
        <v>427</v>
      </c>
      <c r="K14" s="41"/>
      <c r="L14" s="41"/>
      <c r="M14" s="41"/>
      <c r="N14" s="41"/>
      <c r="O14" s="32"/>
    </row>
    <row r="15" spans="2:34" ht="19.5" customHeight="1" x14ac:dyDescent="0.25">
      <c r="B15" s="47" t="s">
        <v>142</v>
      </c>
      <c r="C15" s="209"/>
      <c r="D15" s="210">
        <f>Sku_1_Tenant_Total_Cores</f>
        <v>53.099999999999994</v>
      </c>
      <c r="E15" s="210">
        <f>Sku_2_Tenant_Total_Cores</f>
        <v>53.099999999999994</v>
      </c>
      <c r="F15" s="210">
        <f>Sku_3_Tenant_Total_Cores</f>
        <v>142.69999999999999</v>
      </c>
      <c r="G15" s="210">
        <f>Sku_4_Tenant_Total_Cores</f>
        <v>424.3</v>
      </c>
      <c r="H15" s="210">
        <f>Sku_5_Tenant_Total_Cores</f>
        <v>104.3</v>
      </c>
      <c r="I15" s="210" cm="1">
        <f t="array" ref="I15">Sku_6_Tenant_Total_Cores</f>
        <v>1294.7</v>
      </c>
    </row>
    <row r="16" spans="2:34" ht="19.5" customHeight="1" x14ac:dyDescent="0.25">
      <c r="B16" s="47" t="s">
        <v>152</v>
      </c>
      <c r="C16" s="209"/>
      <c r="D16" s="210">
        <f>Sku_1_Tenant_Memory_for_VMs</f>
        <v>348.79999999999995</v>
      </c>
      <c r="E16" s="210">
        <f>Sku_2_Tenant_Memory_for_VMs</f>
        <v>1001.5999999999999</v>
      </c>
      <c r="F16" s="210">
        <f>Sku_3_Tenant_Memory_for_VMs</f>
        <v>2670.4</v>
      </c>
      <c r="G16" s="210">
        <f>Sku_4_Tenant_Memory_for_VMs</f>
        <v>6008</v>
      </c>
      <c r="H16" s="210">
        <f>Sku_5_Tenant_Memory_for_VMs</f>
        <v>1654.4</v>
      </c>
      <c r="I16" s="210" cm="1">
        <f t="array" ref="I16">Sku_6_Tenant_Memory_for_VMs</f>
        <v>19064</v>
      </c>
    </row>
    <row r="17" spans="2:40" ht="19.5" customHeight="1" x14ac:dyDescent="0.25">
      <c r="B17" s="47" t="s">
        <v>154</v>
      </c>
      <c r="C17" s="209"/>
      <c r="D17" s="210">
        <f>Sku_1_Tenant_Temp_Disk_Value</f>
        <v>3.3954468866189327</v>
      </c>
      <c r="E17" s="210">
        <f>Sku_2_Tenant_Temp_Disk_Value</f>
        <v>5.0931703299283981</v>
      </c>
      <c r="F17" s="210">
        <f>Sku_3_Tenant_Temp_Disk_Value</f>
        <v>6.5192580223083496</v>
      </c>
      <c r="G17" s="210">
        <f>Sku_4_Tenant_Temp_Disk_Value</f>
        <v>29.103830456733704</v>
      </c>
      <c r="H17" s="210">
        <f>Sku_5_Tenant_Temp_Disk_Value</f>
        <v>8.7311491370201111</v>
      </c>
      <c r="I17" s="210" cm="1">
        <f t="array" ref="I17">Sku_6_Tenant_Temp_Disk_Value</f>
        <v>85.681676864624023</v>
      </c>
    </row>
    <row r="18" spans="2:40" ht="19.5" customHeight="1" x14ac:dyDescent="0.25">
      <c r="B18" s="47" t="s">
        <v>158</v>
      </c>
      <c r="C18" s="209"/>
      <c r="D18" s="211">
        <f>Sku_1_Tenant_Total_Storage</f>
        <v>27.141053229570389</v>
      </c>
      <c r="E18" s="155">
        <f>Sku_2_Tenant_Total_Storage</f>
        <v>42.420564219355583</v>
      </c>
      <c r="F18" s="211">
        <f>Sku_3_Tenant_Total_Storage</f>
        <v>55.255353450775146</v>
      </c>
      <c r="G18" s="211">
        <f>Sku_4_Tenant_Total_Storage</f>
        <v>258.51650536060333</v>
      </c>
      <c r="H18" s="211">
        <f>Sku_5_Tenant_Total_Storage</f>
        <v>75.162373483181</v>
      </c>
      <c r="I18" s="211" cm="1">
        <f t="array" ref="I18">Sku_6_Tenant_Total_Storage</f>
        <v>767.7171230316161</v>
      </c>
    </row>
    <row r="22" spans="2:40" s="34" customFormat="1" x14ac:dyDescent="0.25">
      <c r="C22" s="35" t="s">
        <v>314</v>
      </c>
      <c r="I22" s="35" t="s">
        <v>314</v>
      </c>
      <c r="W22" s="35" t="s">
        <v>314</v>
      </c>
    </row>
    <row r="23" spans="2:40" x14ac:dyDescent="0.25">
      <c r="V23" s="34"/>
    </row>
    <row r="24" spans="2:40" ht="19.5" thickBot="1" x14ac:dyDescent="0.35">
      <c r="D24" s="76" t="s">
        <v>428</v>
      </c>
      <c r="V24" s="34"/>
      <c r="X24" s="76" t="s">
        <v>429</v>
      </c>
    </row>
    <row r="25" spans="2:40" ht="15.75" thickBot="1" x14ac:dyDescent="0.3">
      <c r="F25" s="58" t="s">
        <v>132</v>
      </c>
      <c r="G25" s="58" t="s">
        <v>133</v>
      </c>
      <c r="H25" s="58" t="s">
        <v>134</v>
      </c>
      <c r="I25" s="58" t="s">
        <v>135</v>
      </c>
      <c r="J25" s="58" t="s">
        <v>136</v>
      </c>
      <c r="K25" s="58" t="s">
        <v>137</v>
      </c>
      <c r="O25" s="58" t="s">
        <v>132</v>
      </c>
      <c r="P25" s="58" t="s">
        <v>133</v>
      </c>
      <c r="Q25" s="58" t="s">
        <v>134</v>
      </c>
      <c r="R25" s="58" t="s">
        <v>135</v>
      </c>
      <c r="S25" s="58" t="s">
        <v>136</v>
      </c>
      <c r="T25" s="58" t="s">
        <v>137</v>
      </c>
      <c r="U25" s="15"/>
      <c r="V25" s="61"/>
      <c r="Z25" s="58" t="s">
        <v>132</v>
      </c>
      <c r="AA25" s="58" t="s">
        <v>133</v>
      </c>
      <c r="AB25" s="58" t="s">
        <v>134</v>
      </c>
      <c r="AC25" s="58" t="s">
        <v>135</v>
      </c>
      <c r="AD25" s="58" t="s">
        <v>136</v>
      </c>
      <c r="AE25" s="58" t="s">
        <v>137</v>
      </c>
      <c r="AI25" s="58" t="s">
        <v>132</v>
      </c>
      <c r="AJ25" s="58" t="s">
        <v>133</v>
      </c>
      <c r="AK25" s="58" t="s">
        <v>134</v>
      </c>
      <c r="AL25" s="58" t="s">
        <v>135</v>
      </c>
      <c r="AM25" s="58" t="s">
        <v>136</v>
      </c>
      <c r="AN25" s="58" t="s">
        <v>137</v>
      </c>
    </row>
    <row r="26" spans="2:40" x14ac:dyDescent="0.25">
      <c r="E26" s="14" t="s">
        <v>430</v>
      </c>
      <c r="F26" s="160">
        <f>Sku_1_Core_Count*Sku_1_CPU_Count*Sku_1_Servers</f>
        <v>112</v>
      </c>
      <c r="G26" s="160">
        <f>Sku_2_Core_Count*Sku_2_CPU_Count*Sku_2_Servers</f>
        <v>224</v>
      </c>
      <c r="H26" s="18">
        <f>Sku_3_Core_Count*Sku_3_CPU_Count*Sku_3_Servers</f>
        <v>224</v>
      </c>
      <c r="I26" s="160">
        <f>Sku_4_Core_Count*Sku_4_CPU_Count*Sku_4_Servers</f>
        <v>288</v>
      </c>
      <c r="J26" s="160">
        <f>Sku_5_Core_Count*Sku_5_CPU_Count*Sku_5_Servers</f>
        <v>528</v>
      </c>
      <c r="K26" s="160">
        <f>Sku_6_Core_Count*Sku_6_CPU_Count*Sku_6_Servers</f>
        <v>1664</v>
      </c>
      <c r="N26" s="14" t="s">
        <v>431</v>
      </c>
      <c r="O26" s="160">
        <f>Sku_1_Memory*Sku_1_Servers</f>
        <v>1024</v>
      </c>
      <c r="P26" s="18">
        <f>Sku_2_Memory*Sku_2_Servers</f>
        <v>4096</v>
      </c>
      <c r="Q26" s="160">
        <f>Sku_3_Memory*Sku_3_Servers</f>
        <v>4096</v>
      </c>
      <c r="R26" s="18">
        <f>Sku_4_Memory*Sku_4_Servers</f>
        <v>4096</v>
      </c>
      <c r="S26" s="160">
        <f>Sku_5_Memory*Sku_5_Servers</f>
        <v>9216</v>
      </c>
      <c r="T26" s="160">
        <f>Sku_6_Memory*Sku_6_Servers</f>
        <v>24576</v>
      </c>
      <c r="U26" s="160"/>
      <c r="V26" s="61"/>
      <c r="Y26" s="14" t="s">
        <v>430</v>
      </c>
      <c r="Z26" s="160">
        <f>Sku_1_Core_Count*Sku_1_CPU_Count*Sku_1_Tenant_Servers</f>
        <v>112</v>
      </c>
      <c r="AA26" s="160">
        <f>Sku_2_Core_Count*Sku_2_CPU_Count*Sku_2_Tenant_Servers</f>
        <v>112</v>
      </c>
      <c r="AB26" s="18">
        <f>Sku_3_Core_Count*Sku_3_CPU_Count*Sku_3_Tenant_Servers</f>
        <v>224</v>
      </c>
      <c r="AC26" s="160">
        <f>Sku_4_Core_Count*Sku_4_CPU_Count*Sku_4_Tenant_Servers</f>
        <v>576</v>
      </c>
      <c r="AD26" s="160">
        <f>Sku_5_Core_Count*Sku_5_CPU_Count*Sku_5_Tenant_Servers</f>
        <v>176</v>
      </c>
      <c r="AE26" s="160" cm="1">
        <f t="array" ref="AE26">Sku_6_Core_Count*Sku_6_CPU_Count*Sku_6_Tenant_Servers</f>
        <v>1664</v>
      </c>
      <c r="AH26" s="158" t="s">
        <v>431</v>
      </c>
      <c r="AI26" s="160">
        <f>Sku_1_Memory*Sku_1_Tenant_Servers</f>
        <v>1024</v>
      </c>
      <c r="AJ26" s="18">
        <f>Sku_2_Memory*Sku_2_Tenant_Servers</f>
        <v>2048</v>
      </c>
      <c r="AK26" s="160">
        <f>Sku_3_Memory*Sku_3_Tenant_Servers</f>
        <v>4096</v>
      </c>
      <c r="AL26" s="18">
        <f>Sku_4_Memory*Sku_4_Tenant_Servers</f>
        <v>8192</v>
      </c>
      <c r="AM26" s="160">
        <f>Sku_5_Memory*Sku_5_Tenant_Servers</f>
        <v>3072</v>
      </c>
      <c r="AN26" s="160">
        <f>Sku_6_Memory*Sku_6_Tenant_Servers</f>
        <v>24576</v>
      </c>
    </row>
    <row r="27" spans="2:40" x14ac:dyDescent="0.25">
      <c r="D27" s="55"/>
      <c r="E27" s="59" t="s">
        <v>432</v>
      </c>
      <c r="F27" s="161">
        <f>Sku_1_Core_Count*Sku_1_CPU_Count*0.2</f>
        <v>5.6000000000000005</v>
      </c>
      <c r="G27" s="161">
        <f>Sku_2_Core_Count*Sku_2_CPU_Count*0.2</f>
        <v>5.6000000000000005</v>
      </c>
      <c r="H27" s="163">
        <f>Sku_3_Core_Count*Sku_3_CPU_Count*0.2</f>
        <v>5.6000000000000005</v>
      </c>
      <c r="I27" s="161">
        <f>Sku_4_Core_Count*Sku_4_CPU_Count*0.2</f>
        <v>7.2</v>
      </c>
      <c r="J27" s="161">
        <f>Sku_5_Core_Count*Sku_5_CPU_Count*0.2</f>
        <v>8.8000000000000007</v>
      </c>
      <c r="K27" s="161">
        <f>Sku_6_Core_Count*Sku_6_CPU_Count*0.2</f>
        <v>20.8</v>
      </c>
      <c r="N27" s="156" t="s">
        <v>433</v>
      </c>
      <c r="O27" s="161">
        <f t="shared" ref="O27:T27" si="0">AzureStackInfrastructureTotalMemory</f>
        <v>268</v>
      </c>
      <c r="P27" s="161">
        <f t="shared" si="0"/>
        <v>268</v>
      </c>
      <c r="Q27" s="161">
        <f t="shared" si="0"/>
        <v>268</v>
      </c>
      <c r="R27" s="161">
        <f t="shared" si="0"/>
        <v>268</v>
      </c>
      <c r="S27" s="161">
        <f t="shared" si="0"/>
        <v>268</v>
      </c>
      <c r="T27" s="161">
        <f t="shared" si="0"/>
        <v>268</v>
      </c>
      <c r="U27" s="161"/>
      <c r="V27" s="61"/>
      <c r="X27" s="55"/>
      <c r="Y27" s="59" t="s">
        <v>432</v>
      </c>
      <c r="Z27" s="161">
        <f>Sku_1_Core_Count*Sku_1_CPU_Count*0.2</f>
        <v>5.6000000000000005</v>
      </c>
      <c r="AA27" s="161">
        <f>Sku_2_Core_Count*Sku_2_CPU_Count*0.2</f>
        <v>5.6000000000000005</v>
      </c>
      <c r="AB27" s="163">
        <f>Sku_3_Core_Count*Sku_3_CPU_Count*0.2</f>
        <v>5.6000000000000005</v>
      </c>
      <c r="AC27" s="161">
        <f>Sku_4_Core_Count*Sku_4_CPU_Count*0.2</f>
        <v>7.2</v>
      </c>
      <c r="AD27" s="161">
        <f>Sku_5_Core_Count*Sku_5_CPU_Count*0.2</f>
        <v>8.8000000000000007</v>
      </c>
      <c r="AE27" s="161">
        <f>Sku_6_Core_Count*Sku_6_CPU_Count*0.2</f>
        <v>20.8</v>
      </c>
      <c r="AG27" s="716" t="s">
        <v>433</v>
      </c>
      <c r="AH27" s="717"/>
      <c r="AI27" s="161">
        <f t="shared" ref="AI27:AN27" si="1">AzureStackInfrastructureTotalMemory</f>
        <v>268</v>
      </c>
      <c r="AJ27" s="161">
        <f t="shared" si="1"/>
        <v>268</v>
      </c>
      <c r="AK27" s="161">
        <f t="shared" si="1"/>
        <v>268</v>
      </c>
      <c r="AL27" s="161">
        <f t="shared" si="1"/>
        <v>268</v>
      </c>
      <c r="AM27" s="161">
        <f t="shared" si="1"/>
        <v>268</v>
      </c>
      <c r="AN27" s="161">
        <f t="shared" si="1"/>
        <v>268</v>
      </c>
    </row>
    <row r="28" spans="2:40" x14ac:dyDescent="0.25">
      <c r="E28" s="14" t="s">
        <v>434</v>
      </c>
      <c r="F28" s="160">
        <f t="shared" ref="F28:K28" si="2">AzureStackInfrastructureTotalVCPU</f>
        <v>146</v>
      </c>
      <c r="G28" s="160">
        <f t="shared" si="2"/>
        <v>146</v>
      </c>
      <c r="H28" s="18">
        <f t="shared" si="2"/>
        <v>146</v>
      </c>
      <c r="I28" s="160">
        <f t="shared" si="2"/>
        <v>146</v>
      </c>
      <c r="J28" s="160">
        <f t="shared" si="2"/>
        <v>146</v>
      </c>
      <c r="K28" s="160">
        <f t="shared" si="2"/>
        <v>146</v>
      </c>
      <c r="M28" s="140"/>
      <c r="N28" s="14" t="s">
        <v>432</v>
      </c>
      <c r="O28" s="160">
        <f>(Sku_1_Memory*PercentagePhysicalMemoryUsedbyHost)</f>
        <v>38.4</v>
      </c>
      <c r="P28" s="18">
        <f>(Sku_2_Memory*PercentagePhysicalMemoryUsedbyHost)</f>
        <v>76.8</v>
      </c>
      <c r="Q28" s="160">
        <f>(Sku_3_Memory*PercentagePhysicalMemoryUsedbyHost)</f>
        <v>76.8</v>
      </c>
      <c r="R28" s="18">
        <f>(Sku_4_Memory*PercentagePhysicalMemoryUsedbyHost)</f>
        <v>76.8</v>
      </c>
      <c r="S28" s="160">
        <f>(Sku_5_Memory*PercentagePhysicalMemoryUsedbyHost)</f>
        <v>115.19999999999999</v>
      </c>
      <c r="T28" s="160">
        <f>(Sku_6_Memory*PercentagePhysicalMemoryUsedbyHost)</f>
        <v>230.39999999999998</v>
      </c>
      <c r="U28" s="160"/>
      <c r="V28" s="61"/>
      <c r="Y28" s="14" t="s">
        <v>434</v>
      </c>
      <c r="Z28" s="160">
        <f t="shared" ref="Z28:AE28" si="3">AzureStackInfrastructureTotalVCPU</f>
        <v>146</v>
      </c>
      <c r="AA28" s="160">
        <f t="shared" si="3"/>
        <v>146</v>
      </c>
      <c r="AB28" s="18">
        <f t="shared" si="3"/>
        <v>146</v>
      </c>
      <c r="AC28" s="160">
        <f t="shared" si="3"/>
        <v>146</v>
      </c>
      <c r="AD28" s="160">
        <f t="shared" si="3"/>
        <v>146</v>
      </c>
      <c r="AE28" s="160">
        <f t="shared" si="3"/>
        <v>146</v>
      </c>
      <c r="AH28" s="158" t="s">
        <v>432</v>
      </c>
      <c r="AI28" s="160">
        <f>(Sku_1_Memory*PercentagePhysicalMemoryUsedbyHost)</f>
        <v>38.4</v>
      </c>
      <c r="AJ28" s="18">
        <f>(Sku_2_Memory*PercentagePhysicalMemoryUsedbyHost)</f>
        <v>76.8</v>
      </c>
      <c r="AK28" s="160">
        <f>(Sku_3_Memory*PercentagePhysicalMemoryUsedbyHost)</f>
        <v>76.8</v>
      </c>
      <c r="AL28" s="18">
        <f>(Sku_4_Memory*PercentagePhysicalMemoryUsedbyHost)</f>
        <v>76.8</v>
      </c>
      <c r="AM28" s="160">
        <f>(Sku_5_Memory*PercentagePhysicalMemoryUsedbyHost)</f>
        <v>115.19999999999999</v>
      </c>
      <c r="AN28" s="160">
        <f>(Sku_6_Memory*PercentagePhysicalMemoryUsedbyHost)</f>
        <v>230.39999999999998</v>
      </c>
    </row>
    <row r="29" spans="2:40" ht="15.75" thickBot="1" x14ac:dyDescent="0.3">
      <c r="D29" s="33"/>
      <c r="E29" s="59" t="s">
        <v>435</v>
      </c>
      <c r="F29" s="161">
        <f t="shared" ref="F29:K29" si="4">AzureStackInfrastructureTotalVCPU/4</f>
        <v>36.5</v>
      </c>
      <c r="G29" s="161">
        <f t="shared" si="4"/>
        <v>36.5</v>
      </c>
      <c r="H29" s="163">
        <f t="shared" si="4"/>
        <v>36.5</v>
      </c>
      <c r="I29" s="161">
        <f t="shared" si="4"/>
        <v>36.5</v>
      </c>
      <c r="J29" s="161">
        <f t="shared" si="4"/>
        <v>36.5</v>
      </c>
      <c r="K29" s="161">
        <f t="shared" si="4"/>
        <v>36.5</v>
      </c>
      <c r="N29" s="59" t="s">
        <v>436</v>
      </c>
      <c r="O29" s="165">
        <f>IF(AND(Total_HA_VM_Count=0,Total_Non_HA_VM_Count&gt;0),(Sku_1_Servers*Sku_1_Memory_Overhead)+(Sku_1_Servers-2)*Largest_Infra_VM_GPUonly+MIN(Sku_1_Memory-Sku_1_Memory_Overhead,Sum_Non_HAVM),(Sku_1_Servers*Sku_1_Memory_Overhead)+(Sku_1_Servers-2)*Largest_HA_VM_Memory+(Sku_1_Memory-Sku_1_Memory_Overhead))</f>
        <v>407.2</v>
      </c>
      <c r="P29" s="165">
        <f>IF(AND(Total_HA_VM_Count=0,Total_Non_HA_VM_Count&gt;0),(Sku_2_Servers*Sku_2_Memory_Overhead)+(Sku_2_Servers-2)*Largest_Infra_VM_GPUonly+MIN(Sku_2_Memory-Sku_2_Memory_Overhead,Sum_Non_HAVM),(Sku_2_Servers*Sku_2_Memory_Overhead)+(Sku_2_Servers-2)*Largest_HA_VM_Memory+(Sku_2_Memory-Sku_2_Memory_Overhead))</f>
        <v>1157.5999999999999</v>
      </c>
      <c r="Q29" s="165">
        <f>IF(AND(Total_HA_VM_Count=0,Total_Non_HA_VM_Count&gt;0),(Sku_3_Servers*Sku_3_Memory_Overhead)+(Sku_3_Servers-2)*Largest_Infra_VM_GPUonly+MIN(Sku_3_Memory-Sku_3_Memory_Overhead,Sum_Non_HAVM),(Sku_3_Servers*Sku_3_Memory_Overhead)+(Sku_3_Servers-2)*Largest_HA_VM_Memory+(Sku_3_Memory-Sku_3_Memory_Overhead))</f>
        <v>1157.5999999999999</v>
      </c>
      <c r="R29" s="165">
        <f>IF(AND(Total_HA_VM_Count=0,Total_Non_HA_VM_Count&gt;0),(Sku_4_Servers*Sku_4_Memory_Overhead)+(Sku_4_Servers-2)*Largest_Infra_VM_GPUonly+MIN(Sku_4_Memory-Sku_4_Memory_Overhead,Sum_Non_HAVM),(Sku_4_Servers*Sku_4_Memory_Overhead)+(Sku_4_Servers-2)*Largest_HA_VM_Memory+(Sku_4_Memory-Sku_4_Memory_Overhead))</f>
        <v>1157.5999999999999</v>
      </c>
      <c r="S29" s="165">
        <f>IF(AND(Total_HA_VM_Count=0,Total_Non_HA_VM_Count&gt;0),(Sku_5_Servers*Sku_5_Memory_Overhead)+(Sku_5_Servers-2)*Largest_Infra_VM_GPUonly+MIN(Sku_5_Memory-Sku_5_Memory_Overhead,Sum_Non_HAVM),(Sku_5_Servers*Sku_5_Memory_Overhead)+(Sku_5_Servers-2)*Largest_HA_VM_Memory+(Sku_5_Memory-Sku_5_Memory_Overhead))</f>
        <v>2215.1999999999998</v>
      </c>
      <c r="T29" s="165">
        <f>IF(AND(Total_HA_VM_Count=0,Total_Non_HA_VM_Count&gt;0),(Sku_6_Servers*Sku_6_Memory_Overhead)+(Sku_6_Servers-2)*Largest_Infra_VM_GPUonly+MIN(Sku_6_Memory-Sku_6_Memory_Overhead,Sum_Non_HAVM),(Sku_6_Servers*Sku_6_Memory_Overhead)+(Sku_6_Servers-2)*Largest_HA_VM_Memory+(Sku_6_Memory-Sku_6_Memory_Overhead))</f>
        <v>5244</v>
      </c>
      <c r="U29" s="15"/>
      <c r="V29" s="61"/>
      <c r="X29" s="33"/>
      <c r="Y29" s="59" t="s">
        <v>435</v>
      </c>
      <c r="Z29" s="161">
        <f t="shared" ref="Z29:AE29" si="5">AzureStackInfrastructureTotalVCPU/4</f>
        <v>36.5</v>
      </c>
      <c r="AA29" s="161">
        <f t="shared" si="5"/>
        <v>36.5</v>
      </c>
      <c r="AB29" s="163">
        <f t="shared" si="5"/>
        <v>36.5</v>
      </c>
      <c r="AC29" s="161">
        <f t="shared" si="5"/>
        <v>36.5</v>
      </c>
      <c r="AD29" s="161">
        <f t="shared" si="5"/>
        <v>36.5</v>
      </c>
      <c r="AE29" s="161">
        <f t="shared" si="5"/>
        <v>36.5</v>
      </c>
      <c r="AG29" s="33"/>
      <c r="AH29" s="159" t="s">
        <v>436</v>
      </c>
      <c r="AI29" s="161">
        <f>IF(AND(Total_Tenant_HA_Workloads = 0, Total_Tenant_Non_HA_workloads &gt; 0),(Sku_1_Tenant_Servers*Sku_1_Tenant_Memory_Overhead)+(Sku_1_Tenant_Servers-2)*Largest_Infra_VM_GPUonly+MIN(Sku_1_Memory-Sku_1_Tenant_Memory_Overhead,Sum_Non_HAVM),(Sku_1_Tenant_Servers*Sku_1_Tenant_Memory_Overhead)+(Sku_1_Tenant_Servers-2)*Largest_HA_Tenant_Memory+(Sku_1_Memory-Sku_1_Tenant_Memory_Overhead))</f>
        <v>407.2</v>
      </c>
      <c r="AJ29" s="161">
        <f>IF(AND(Total_Tenant_HA_Workloads = 0, Total_Tenant_Non_HA_workloads &gt; 0),(Sku_2_Tenant_Servers*Sku_2_Tenant_Memory_Overhead)+(Sku_2_Tenant_Servers-2)*Largest_Infra_VM_GPUonly+MIN(Sku_2_Memory-Sku_2_Tenant_Memory_Overhead,Sum_Non_HAVM),(Sku_2_Tenant_Servers*Sku_2_Tenant_Memory_Overhead)+(Sku_2_Tenant_Servers-2)*Largest_HA_Tenant_Memory+(Sku_2_Memory-Sku_2_Tenant_Memory_Overhead))</f>
        <v>778.4</v>
      </c>
      <c r="AK29" s="161">
        <f>IF(AND(Total_Tenant_HA_Workloads = 0, Total_Tenant_Non_HA_workloads &gt; 0),(Sku_3_Tenant_Servers*Sku_3_Tenant_Memory_Overhead)+(Sku_3_Tenant_Servers-2)*Largest_Infra_VM_GPUonly+MIN(Sku_3_Memory-Sku_3_Tenant_Memory_Overhead,Sum_Non_HAVM),(Sku_3_Tenant_Servers*Sku_3_Tenant_Memory_Overhead)+(Sku_3_Tenant_Servers-2)*Largest_HA_Tenant_Memory+(Sku_3_Memory-Sku_3_Tenant_Memory_Overhead))</f>
        <v>1157.5999999999999</v>
      </c>
      <c r="AL29" s="161">
        <f>IF(AND(Total_Tenant_HA_Workloads = 0, Total_Tenant_Non_HA_workloads &gt; 0),(Sku_4_Tenant_Servers*Sku_4_Tenant_Memory_Overhead)+(Sku_4_Tenant_Servers-2)*Largest_Infra_VM_GPUonly+MIN(Sku_4_Memory-Sku_4_Tenant_Memory_Overhead,Sum_Non_HAVM),(Sku_4_Tenant_Servers*Sku_4_Tenant_Memory_Overhead)+(Sku_4_Tenant_Servers-2)*Largest_HA_Tenant_Memory+(Sku_4_Memory-Sku_4_Tenant_Memory_Overhead))</f>
        <v>1916</v>
      </c>
      <c r="AM29" s="161">
        <f>IF(AND(Total_Tenant_HA_Workloads = 0, Total_Tenant_Non_HA_workloads &gt; 0),(Sku_5_Tenant_Servers*Sku_5_Tenant_Memory_Overhead)+(Sku_5_Tenant_Servers-2)*Largest_Infra_VM_GPUonly+MIN(Sku_5_Memory-Sku_5_Tenant_Memory_Overhead,Sum_Non_HAVM),(Sku_5_Tenant_Servers*Sku_5_Tenant_Memory_Overhead)+(Sku_5_Tenant_Servers-2)*Largest_HA_Tenant_Memory+(Sku_5_Memory-Sku_5_Tenant_Memory_Overhead))</f>
        <v>1149.5999999999999</v>
      </c>
      <c r="AN29" s="161">
        <f>IF(AND(Total_Tenant_HA_Workloads = 0, Total_Tenant_Non_HA_workloads &gt; 0),(Sku_6_Tenant_Servers*Sku_6_Tenant_Memory_Overhead)+(Sku_6_Tenant_Servers-2)*Largest_Infra_VM_GPUonly+MIN(Sku_6_Memory-Sku_6_Tenant_Memory_Overhead,Sum_Non_HAVM),(Sku_6_Tenant_Servers*Sku_6_Tenant_Memory_Overhead)+(Sku_6_Tenant_Servers-2)*Largest_HA_Tenant_Memory+(Sku_6_Memory-Sku_6_Tenant_Memory_Overhead))</f>
        <v>5244</v>
      </c>
    </row>
    <row r="30" spans="2:40" ht="15.75" thickBot="1" x14ac:dyDescent="0.3">
      <c r="E30" s="14" t="s">
        <v>437</v>
      </c>
      <c r="F30" s="160">
        <f>Sku_1_Servers</f>
        <v>4</v>
      </c>
      <c r="G30" s="160">
        <f>Sku_2_Servers</f>
        <v>8</v>
      </c>
      <c r="H30" s="18">
        <f>Sku_3_Servers</f>
        <v>8</v>
      </c>
      <c r="I30" s="160">
        <f>Sku_4_Servers</f>
        <v>8</v>
      </c>
      <c r="J30" s="160">
        <f>Sku_5_Servers</f>
        <v>12</v>
      </c>
      <c r="K30" s="160">
        <f>Sku_6_Servers</f>
        <v>16</v>
      </c>
      <c r="N30" s="157" t="s">
        <v>438</v>
      </c>
      <c r="O30" s="166">
        <f>Sku_1_Memory_Raw-(Sku_1_Reserved_Memory+ Sku_1__total_Infrastructure_Memory )</f>
        <v>348.79999999999995</v>
      </c>
      <c r="P30" s="166">
        <f>Sku_2_Memory_Raw-(Sku_2_Reserved_Memory+ Sku_2_total_Infrastructure_Memory )</f>
        <v>2670.4</v>
      </c>
      <c r="Q30" s="166">
        <f>Sku_3_Memory_Raw-(Sku_3_Reserved_Memory+ Sku_3_total_Infrastructure_Memory )</f>
        <v>2670.4</v>
      </c>
      <c r="R30" s="166">
        <f>Sku_4_Memory_Raw-(Sku_4_Reserved_Memory+ Sku_4_total_Infrastructure_Memory )</f>
        <v>2670.4</v>
      </c>
      <c r="S30" s="166">
        <f>Sku_5_Memory_Raw-(Sku_5_Reserved_Memory+ Sku_5_total_Infrastructure_Memory )</f>
        <v>6732.8</v>
      </c>
      <c r="T30" s="166">
        <f>Sku_6_Memory_Raw-(Sku_6_Reserved_Memory+ Sku_6_total_Infrastructure_Memory )</f>
        <v>19064</v>
      </c>
      <c r="U30" s="164"/>
      <c r="V30" s="61"/>
      <c r="Y30" s="14" t="s">
        <v>437</v>
      </c>
      <c r="Z30" s="160">
        <f>Sku_1_Tenant_Servers</f>
        <v>4</v>
      </c>
      <c r="AA30" s="160">
        <f>Sku_2_Tenant_Servers</f>
        <v>4</v>
      </c>
      <c r="AB30" s="160">
        <f>Sku_3_Tenant_Servers</f>
        <v>8</v>
      </c>
      <c r="AC30" s="160">
        <f>Sku_4_Tenant_Servers</f>
        <v>16</v>
      </c>
      <c r="AD30" s="160">
        <f>Sku_5_Tenant_Servers</f>
        <v>4</v>
      </c>
      <c r="AE30" s="160" cm="1">
        <f t="array" ref="AE30">Sku_6_Tenant_Servers</f>
        <v>16</v>
      </c>
      <c r="AH30" s="157" t="s">
        <v>438</v>
      </c>
      <c r="AI30" s="166">
        <f>Sku_1_Tenant_Memory_Raw-(Sku_1_Tenant_Reserved_Memory+ Sku_1_total_Tenant_Infrastructure_Memory )</f>
        <v>348.79999999999995</v>
      </c>
      <c r="AJ30" s="166">
        <f>Sku_2_Tenant_Memory_Raw-(Sku_2_Tenant_Reserved_Memory+ Sku_2_total_Tenant_Infrastructure_Memory )</f>
        <v>1001.5999999999999</v>
      </c>
      <c r="AK30" s="166">
        <f>Sku_3_Tenant_Memory_Raw-(Sku_3_Tenant_Reserved_Memory+ Sku_3_total_Tenant_Infrastructure_Memory )</f>
        <v>2670.4</v>
      </c>
      <c r="AL30" s="166">
        <f>Sku_4_Tenant_Memory_Raw-(Sku_4_Tenant_Reserved_Memory+ Sku_4_total_Tenant_Infrastructure_Memory )</f>
        <v>6008</v>
      </c>
      <c r="AM30" s="166">
        <f>Sku_5_Tenant_Memory_Raw-(Sku_5_Tenant_Reserved_Memory+ Sku_5_total_Tenant_Infrastructure_Memory )</f>
        <v>1654.4</v>
      </c>
      <c r="AN30" s="166">
        <f>Sku_6_Tenant_Memory_Raw-(Sku_6_Tenant_Reserved_Memory+ Sku_6_total_Tenant_Infrastructure_Memory )</f>
        <v>19064</v>
      </c>
    </row>
    <row r="31" spans="2:40" ht="15.75" thickBot="1" x14ac:dyDescent="0.3">
      <c r="D31" s="33"/>
      <c r="E31" s="59" t="s">
        <v>439</v>
      </c>
      <c r="F31" s="161">
        <f>Sku_1_Cores_Raw-Sku_1_Cores_Infrastructure</f>
        <v>75.5</v>
      </c>
      <c r="G31" s="161">
        <f>Sku_2_Cores_Raw-Sku_2_Cores_Infrastructure</f>
        <v>187.5</v>
      </c>
      <c r="H31" s="163">
        <f>Sku_3_Cores_Raw-Sku_3_Cores_Infrastructure</f>
        <v>187.5</v>
      </c>
      <c r="I31" s="161">
        <f>Sku_4_Cores_Raw-Sku_4_Cores_Infrastructure</f>
        <v>251.5</v>
      </c>
      <c r="J31" s="161">
        <f>Sku_5_Cores_Raw-Sku_5_Cores_Infrastructure</f>
        <v>491.5</v>
      </c>
      <c r="K31" s="161" cm="1">
        <f t="array" ref="K31">Sku_6_Cores_Raw-Sku_6_Cores_Infrastructure</f>
        <v>1627.5</v>
      </c>
      <c r="N31" s="199" t="s">
        <v>440</v>
      </c>
      <c r="O31" s="200">
        <f>Sku_1_Memory_for_VMs - Total_Allocated_GPU_VM_Memory</f>
        <v>348.79999999999995</v>
      </c>
      <c r="P31" s="200">
        <f>Sku_2_Memory_for_VMs - Total_Allocated_GPU_VM_Memory</f>
        <v>2670.4</v>
      </c>
      <c r="Q31" s="200">
        <f>Sku_3_Memory_for_VMs - Total_Allocated_GPU_VM_Memory</f>
        <v>2670.4</v>
      </c>
      <c r="R31" s="200">
        <f>Sku_4_Memory_for_VMs - Total_Allocated_GPU_VM_Memory</f>
        <v>2670.4</v>
      </c>
      <c r="S31" s="200">
        <f>Sku_5_Memory_for_VMs - Total_Allocated_GPU_VM_Memory</f>
        <v>6732.8</v>
      </c>
      <c r="T31" s="200">
        <f>Sku_6_Memory_for_VMs - Total_Allocated_GPU_VM_Memory</f>
        <v>19064</v>
      </c>
      <c r="V31" s="34"/>
      <c r="X31" s="33"/>
      <c r="Y31" s="59" t="s">
        <v>439</v>
      </c>
      <c r="Z31" s="161">
        <f>Sku_1_Tenant_Cores_Raw-Sku_1_Tenant_Cores_Infrastructure</f>
        <v>75.5</v>
      </c>
      <c r="AA31" s="161">
        <f>Sku_2_Tenant_Cores_Raw-Sku_2_Tenant_Cores_Infrastructure</f>
        <v>75.5</v>
      </c>
      <c r="AB31" s="163">
        <f>Sku_3_Tenant_Cores_Raw-Sku_3_Tenant_Cores_Infrastructure</f>
        <v>187.5</v>
      </c>
      <c r="AC31" s="161">
        <f>Sku_4_Tenant_Cores_Raw-Sku_4_Tenant_Cores_Infrastructure</f>
        <v>539.5</v>
      </c>
      <c r="AD31" s="161">
        <f>Sku_5_Tenant_Cores_Raw-Sku_5_Tenant_Cores_Infrastructure</f>
        <v>139.5</v>
      </c>
      <c r="AE31" s="161" cm="1">
        <f t="array" ref="AE31">Sku_6_Tenant_Cores_Raw-Sku_6_Tenant_Cores_Infrastructure</f>
        <v>1627.5</v>
      </c>
      <c r="AH31" s="199" t="s">
        <v>440</v>
      </c>
      <c r="AI31" s="200">
        <f>(Sku_1_Tenant_Memory_for_VMs) - (Total_Tenant_HA_Workloads)</f>
        <v>348.79999999999995</v>
      </c>
      <c r="AJ31" s="200">
        <f>(Sku_2_Tenant_Memory_for_VMs) - (Total_Tenant_HA_Workloads)</f>
        <v>1001.5999999999999</v>
      </c>
      <c r="AK31" s="200">
        <f>(Sku_3_Tenant_Memory_for_VMs) - (Total_Tenant_HA_Workloads)</f>
        <v>2670.4</v>
      </c>
      <c r="AL31" s="200">
        <f>(Sku_4_Tenant_Memory_for_VMs) - (Total_Tenant_HA_Workloads)</f>
        <v>6008</v>
      </c>
      <c r="AM31" s="200">
        <f>(Sku_5_Tenant_Memory_for_VMs) - (Total_Tenant_HA_Workloads)</f>
        <v>1654.4</v>
      </c>
      <c r="AN31" s="200">
        <f>(Sku_6_Tenant_Memory_for_VMs) - (Total_Tenant_HA_Workloads)</f>
        <v>19064</v>
      </c>
    </row>
    <row r="32" spans="2:40" ht="15.75" thickBot="1" x14ac:dyDescent="0.3">
      <c r="D32" s="56"/>
      <c r="E32" s="60" t="s">
        <v>441</v>
      </c>
      <c r="F32" s="161">
        <f>Sku_1_Servers*Sku_1_Host_Overhead</f>
        <v>22.400000000000002</v>
      </c>
      <c r="G32" s="161">
        <f>Sku_2_Servers*Sku_2_Host_Overhead</f>
        <v>44.800000000000004</v>
      </c>
      <c r="H32" s="163">
        <f>Sku_3_Servers*Sku_3_Host_Overhead</f>
        <v>44.800000000000004</v>
      </c>
      <c r="I32" s="161">
        <f>Sku_4_Servers*Sku_4_Host_Overhead</f>
        <v>57.6</v>
      </c>
      <c r="J32" s="161">
        <f>Sku_5_Servers*Sku_5_Host_Overhead</f>
        <v>105.60000000000001</v>
      </c>
      <c r="K32" s="161" cm="1">
        <f t="array" ref="K32">Sku_6_Servers*Sku_6_Host_Overhead</f>
        <v>332.8</v>
      </c>
      <c r="N32" s="201" t="s">
        <v>442</v>
      </c>
      <c r="V32" s="34"/>
      <c r="X32" s="56"/>
      <c r="Y32" s="60" t="s">
        <v>441</v>
      </c>
      <c r="Z32" s="161">
        <f>Sku_1_Tenant_Servers*Sku_1_Tenant_Host_Overhead</f>
        <v>22.400000000000002</v>
      </c>
      <c r="AA32" s="161">
        <f>Sku_2_Tenant_Servers*Sku_2_Tenant_Host_Overhead</f>
        <v>22.400000000000002</v>
      </c>
      <c r="AB32" s="163">
        <f>Sku_3_Tenant_Servers*Sku_3_Tenant_Host_Overhead</f>
        <v>44.800000000000004</v>
      </c>
      <c r="AC32" s="161">
        <f>Sku_4_Tenant_Servers*Sku_4_Tenant_Host_Overhead</f>
        <v>115.2</v>
      </c>
      <c r="AD32" s="161">
        <f>Sku_5_Tenant_Servers*Sku_5_Tenant_Host_Overhead</f>
        <v>35.200000000000003</v>
      </c>
      <c r="AE32" s="161" cm="1">
        <f t="array" ref="AE32">Sku_6_Tenant_Servers*Sku_6_Tenant_Host_Overhead</f>
        <v>332.8</v>
      </c>
      <c r="AH32" s="201" t="s">
        <v>442</v>
      </c>
    </row>
    <row r="33" spans="4:40" ht="15.75" thickBot="1" x14ac:dyDescent="0.3">
      <c r="D33" s="57" t="s">
        <v>443</v>
      </c>
      <c r="E33" s="42"/>
      <c r="F33" s="162">
        <f t="shared" ref="F33:K33" si="6">F31-F32</f>
        <v>53.099999999999994</v>
      </c>
      <c r="G33" s="162">
        <f t="shared" si="6"/>
        <v>142.69999999999999</v>
      </c>
      <c r="H33" s="162">
        <f t="shared" si="6"/>
        <v>142.69999999999999</v>
      </c>
      <c r="I33" s="162">
        <f t="shared" si="6"/>
        <v>193.9</v>
      </c>
      <c r="J33" s="162">
        <f t="shared" si="6"/>
        <v>385.9</v>
      </c>
      <c r="K33" s="162">
        <f t="shared" si="6"/>
        <v>1294.7</v>
      </c>
      <c r="V33" s="34"/>
      <c r="X33" s="57" t="s">
        <v>443</v>
      </c>
      <c r="Y33" s="42"/>
      <c r="Z33" s="162">
        <f t="shared" ref="Z33:AE33" si="7">Z31-Z32</f>
        <v>53.099999999999994</v>
      </c>
      <c r="AA33" s="162">
        <f t="shared" si="7"/>
        <v>53.099999999999994</v>
      </c>
      <c r="AB33" s="162">
        <f t="shared" si="7"/>
        <v>142.69999999999999</v>
      </c>
      <c r="AC33" s="162">
        <f t="shared" si="7"/>
        <v>424.3</v>
      </c>
      <c r="AD33" s="162">
        <f t="shared" si="7"/>
        <v>104.3</v>
      </c>
      <c r="AE33" s="162">
        <f t="shared" si="7"/>
        <v>1294.7</v>
      </c>
    </row>
    <row r="34" spans="4:40" ht="15.75" thickBot="1" x14ac:dyDescent="0.3">
      <c r="O34" s="58" t="s">
        <v>132</v>
      </c>
      <c r="P34" s="58" t="s">
        <v>133</v>
      </c>
      <c r="Q34" s="58" t="s">
        <v>134</v>
      </c>
      <c r="R34" s="58" t="s">
        <v>135</v>
      </c>
      <c r="S34" s="58" t="s">
        <v>136</v>
      </c>
      <c r="T34" s="58" t="s">
        <v>137</v>
      </c>
      <c r="V34" s="34"/>
      <c r="AI34" s="58" t="s">
        <v>132</v>
      </c>
      <c r="AJ34" s="58" t="s">
        <v>133</v>
      </c>
      <c r="AK34" s="58" t="s">
        <v>134</v>
      </c>
      <c r="AL34" s="58" t="s">
        <v>135</v>
      </c>
      <c r="AM34" s="58" t="s">
        <v>136</v>
      </c>
      <c r="AN34" s="58" t="s">
        <v>137</v>
      </c>
    </row>
    <row r="35" spans="4:40" ht="15.75" thickBot="1" x14ac:dyDescent="0.3">
      <c r="N35" s="157" t="s">
        <v>444</v>
      </c>
      <c r="O35" s="162">
        <f>Sku_1_Temp_Avail_Capacity-Sku_1_Temp_Disk_Value-(AzureStackInfrastructureStorageTotal/1024)</f>
        <v>27.141053229570389</v>
      </c>
      <c r="P35" s="162">
        <f>Sku_2_Temp_Avail_Capacity-Sku_2_Temp_Disk_Value-(AzureStackInfrastructureStorageTotal/1024)</f>
        <v>88.259097188711166</v>
      </c>
      <c r="Q35" s="162">
        <f>Sku_3_Temp_Avail_Capacity-Sku_3_Temp_Disk_Value-(AzureStackInfrastructureStorageTotal/1024)</f>
        <v>55.255353450775146</v>
      </c>
      <c r="R35" s="162">
        <f>Sku_4_Temp_Avail_Capacity-Sku_4_Temp_Disk_Value-(AzureStackInfrastructureStorageTotal/1024)</f>
        <v>127.54926830530167</v>
      </c>
      <c r="S35" s="162">
        <f>Sku_5_Temp_Avail_Capacity-Sku_5_Temp_Disk_Value-(AzureStackInfrastructureStorageTotal/1024)</f>
        <v>232.323057949543</v>
      </c>
      <c r="T35" s="162">
        <f>Sku_6_Temp_Avail_Capacity-Sku_6_Temp_Disk_Value-(AzureStackInfrastructureStorageTotal/1024)</f>
        <v>767.7171230316161</v>
      </c>
      <c r="V35" s="34"/>
      <c r="AH35" s="57" t="s">
        <v>444</v>
      </c>
      <c r="AI35" s="162">
        <f>Sku_1_Tenant_Temp_Avail_Capacity-Sku_1_Tenant_Temp_Disk_Value-(AzureStackInfrastructureStorageTotal/1024)</f>
        <v>27.141053229570389</v>
      </c>
      <c r="AJ35" s="162">
        <f>Sku_2_Tenant_Temp_Avail_Capacity-Sku_2_Tenant_Temp_Disk_Value-(AzureStackInfrastructureStorageTotal/1024)</f>
        <v>42.420564219355583</v>
      </c>
      <c r="AK35" s="162">
        <f>Sku_3_Tenant_Temp_Avail_Capacity-Sku_3_Tenant_Temp_Disk_Value-(AzureStackInfrastructureStorageTotal/1024)</f>
        <v>55.255353450775146</v>
      </c>
      <c r="AL35" s="162">
        <f>Sku_4_Tenant_Temp_Avail_Capacity-Sku_4_Tenant_Temp_Disk_Value-(AzureStackInfrastructureStorageTotal/1024)</f>
        <v>258.51650536060333</v>
      </c>
      <c r="AM35" s="162">
        <f>Sku_5_Tenant_Temp_Avail_Capacity-Sku_5_Tenant_Temp_Disk_Value-(AzureStackInfrastructureStorageTotal/1024)</f>
        <v>75.162373483181</v>
      </c>
      <c r="AN35" s="162">
        <f>Sku_6_Tenant_Temp_Avail_Capacity-Sku_6_Tenant_Temp_Disk_Value-(AzureStackInfrastructureStorageTotal/1024)</f>
        <v>767.7171230316161</v>
      </c>
    </row>
    <row r="36" spans="4:40" ht="15.75" thickBot="1" x14ac:dyDescent="0.3">
      <c r="F36" s="58" t="s">
        <v>132</v>
      </c>
      <c r="G36" s="58" t="s">
        <v>133</v>
      </c>
      <c r="H36" s="58" t="s">
        <v>134</v>
      </c>
      <c r="I36" s="58" t="s">
        <v>135</v>
      </c>
      <c r="J36" s="58" t="s">
        <v>136</v>
      </c>
      <c r="K36" s="58" t="s">
        <v>137</v>
      </c>
      <c r="U36" s="15"/>
      <c r="V36" s="61"/>
      <c r="Z36" s="58" t="s">
        <v>132</v>
      </c>
      <c r="AA36" s="58" t="s">
        <v>133</v>
      </c>
      <c r="AB36" s="58" t="s">
        <v>134</v>
      </c>
      <c r="AC36" s="58" t="s">
        <v>135</v>
      </c>
      <c r="AD36" s="58" t="s">
        <v>136</v>
      </c>
      <c r="AE36" s="58" t="s">
        <v>137</v>
      </c>
    </row>
    <row r="37" spans="4:40" x14ac:dyDescent="0.25">
      <c r="E37" s="14" t="s">
        <v>445</v>
      </c>
      <c r="F37" s="160">
        <f>Sku_1_Servers*Sku_1_Capacity_Count*Sku_1_Capacity_Capacity/1000</f>
        <v>128</v>
      </c>
      <c r="G37" s="160">
        <f>Sku_2_Servers*Sku_2_Capacity_Count*Sku_2_Capacity_Capacity/1000</f>
        <v>384</v>
      </c>
      <c r="H37" s="160">
        <f>Sku_3_Servers*Sku_3_Capacity_Count*Sku_3_Capacity_Capacity/1000</f>
        <v>245.76</v>
      </c>
      <c r="I37" s="160">
        <f>Sku_4_Servers*Sku_4_Capacity_Count*Sku_4_Capacity_Capacity/1000</f>
        <v>576</v>
      </c>
      <c r="J37" s="160">
        <f>Sku_5_Servers*Sku_5_Capacity_Count*Sku_5_Capacity_Capacity/1000</f>
        <v>960</v>
      </c>
      <c r="K37" s="160">
        <f>Sku_6_Servers*Sku_6_Capacity_Count*Sku_6_Capacity_Capacity/1000</f>
        <v>2949.12</v>
      </c>
      <c r="U37" s="70"/>
      <c r="V37" s="78"/>
      <c r="Y37" s="14" t="s">
        <v>445</v>
      </c>
      <c r="Z37" s="160">
        <f>Sku_1_Tenant_Servers*Sku_1_Capacity_Count*Sku_1_Capacity_Capacity/1000</f>
        <v>128</v>
      </c>
      <c r="AA37" s="160">
        <f>Sku_2_Tenant_Servers*Sku_2_Capacity_Count*Sku_2_Capacity_Capacity/1000</f>
        <v>192</v>
      </c>
      <c r="AB37" s="160">
        <f>Sku_3_Tenant_Servers*Sku_3_Capacity_Count*Sku_3_Capacity_Capacity/1000</f>
        <v>245.76</v>
      </c>
      <c r="AC37" s="160">
        <f>Sku_4_Tenant_Servers*Sku_4_Capacity_Count*Sku_4_Capacity_Capacity/1000</f>
        <v>1152</v>
      </c>
      <c r="AD37" s="160">
        <f>Sku_5_Tenant_Servers*Sku_5_Capacity_Count*Sku_5_Capacity_Capacity/1000</f>
        <v>320</v>
      </c>
      <c r="AE37" s="160">
        <f>Sku_6_Tenant_Servers*Sku_6_Capacity_Count*Sku_6_Capacity_Capacity/1000</f>
        <v>2949.12</v>
      </c>
    </row>
    <row r="38" spans="4:40" x14ac:dyDescent="0.25">
      <c r="D38" s="33"/>
      <c r="E38" s="59" t="s">
        <v>446</v>
      </c>
      <c r="F38" s="161">
        <f>(Sku_1_Capacity_Count*Sku_1_Servers-Sku_1_Servers)*Sku_1_Capacity_Capacity/1000</f>
        <v>112</v>
      </c>
      <c r="G38" s="161">
        <f>(Sku_2_Capacity_Count*Sku_2_Servers-Sku_2_Servers)*Sku_2_Capacity_Capacity/1000</f>
        <v>336</v>
      </c>
      <c r="H38" s="161">
        <f>(Sku_3_Capacity_Count*Sku_3_Servers-Sku_3_Servers)*Sku_3_Capacity_Capacity/1000</f>
        <v>215.04</v>
      </c>
      <c r="I38" s="161">
        <f>(Sku_4_Capacity_Count*Sku_4_Servers-Sku_4_Servers)*Sku_4_Capacity_Capacity/1000</f>
        <v>480</v>
      </c>
      <c r="J38" s="161">
        <f>(Sku_5_Capacity_Count*Sku_5_Servers-Sku_5_Servers)*Sku_5_Capacity_Capacity/1000</f>
        <v>864</v>
      </c>
      <c r="K38" s="161">
        <f>(Sku_6_Capacity_Count*Sku_6_Servers-Sku_6_Servers)*Sku_6_Capacity_Capacity/1000</f>
        <v>2826.24</v>
      </c>
      <c r="V38" s="34"/>
      <c r="X38" s="33"/>
      <c r="Y38" s="59" t="s">
        <v>446</v>
      </c>
      <c r="Z38" s="161">
        <f>(Sku_1_Capacity_Count*Sku_1_Tenant_Servers-Sku_1_Tenant_Servers)*Sku_1_Capacity_Capacity/1000</f>
        <v>112</v>
      </c>
      <c r="AA38" s="161">
        <f>(Sku_2_Capacity_Count*Sku_2_Tenant_Servers-Sku_2_Tenant_Servers)*Sku_2_Capacity_Capacity/1000</f>
        <v>168</v>
      </c>
      <c r="AB38" s="161">
        <f>(Sku_3_Capacity_Count*Sku_3_Tenant_Servers-Sku_3_Tenant_Servers)*Sku_3_Capacity_Capacity/1000</f>
        <v>215.04</v>
      </c>
      <c r="AC38" s="161">
        <f>(Sku_4_Capacity_Count*Sku_4_Tenant_Servers-Sku_4_Tenant_Servers)*Sku_4_Capacity_Capacity/1000</f>
        <v>960</v>
      </c>
      <c r="AD38" s="161">
        <f>(Sku_5_Capacity_Count*Sku_5_Tenant_Servers-Sku_5_Tenant_Servers)*Sku_5_Capacity_Capacity/1000</f>
        <v>288</v>
      </c>
      <c r="AE38" s="161">
        <f>(Sku_6_Capacity_Count*Sku_6_Tenant_Servers-Sku_6_Tenant_Servers)*Sku_6_Capacity_Capacity/1000</f>
        <v>2826.24</v>
      </c>
    </row>
    <row r="39" spans="4:40" x14ac:dyDescent="0.25">
      <c r="E39" s="14" t="s">
        <v>447</v>
      </c>
      <c r="F39" s="160">
        <f xml:space="preserve"> IF(Sku_1_Servers&lt;3,2,3)</f>
        <v>3</v>
      </c>
      <c r="G39" s="160">
        <f xml:space="preserve"> IF(Sku_2_Servers&lt;3,2,3)</f>
        <v>3</v>
      </c>
      <c r="H39" s="160">
        <f xml:space="preserve"> IF(Sku_3_Servers&lt;3,2,3)</f>
        <v>3</v>
      </c>
      <c r="I39" s="160">
        <f xml:space="preserve"> IF(Sku_4_Servers&lt;3,2,3)</f>
        <v>3</v>
      </c>
      <c r="J39" s="160">
        <f xml:space="preserve"> IF(Sku_5_Servers&lt;3,2,3)</f>
        <v>3</v>
      </c>
      <c r="K39" s="160">
        <f xml:space="preserve"> IF(Sku_6_Servers&lt;3,2,3)</f>
        <v>3</v>
      </c>
      <c r="V39" s="34"/>
      <c r="Y39" s="14" t="s">
        <v>447</v>
      </c>
      <c r="Z39" s="160">
        <f t="shared" ref="Z39:AE39" si="8" xml:space="preserve"> IF(Sku_1_Tenant_Servers&lt;3,2,3)</f>
        <v>3</v>
      </c>
      <c r="AA39" s="160">
        <f t="shared" si="8"/>
        <v>3</v>
      </c>
      <c r="AB39" s="160">
        <f t="shared" si="8"/>
        <v>3</v>
      </c>
      <c r="AC39" s="160">
        <f t="shared" si="8"/>
        <v>3</v>
      </c>
      <c r="AD39" s="160">
        <f t="shared" si="8"/>
        <v>3</v>
      </c>
      <c r="AE39" s="160">
        <f t="shared" si="8"/>
        <v>3</v>
      </c>
    </row>
    <row r="40" spans="4:40" x14ac:dyDescent="0.25">
      <c r="D40" s="33"/>
      <c r="E40" s="59" t="s">
        <v>448</v>
      </c>
      <c r="F40" s="161">
        <f>(Sku_1_Allocable_Temp/Sku_1_Mirrors) * POWER(10,12)/POWER(2,40)</f>
        <v>33.954468866189323</v>
      </c>
      <c r="G40" s="161">
        <f>(Sku_2_Allocable_Temp/Sku_2_Mirrors) * POWER(10,12)/POWER(2,40)</f>
        <v>101.86340659856796</v>
      </c>
      <c r="H40" s="161">
        <f>(Sku_3_Allocable_Temp/Sku_3_Mirrors) * POWER(10,12)/POWER(2,40)</f>
        <v>65.192580223083496</v>
      </c>
      <c r="I40" s="161">
        <f>(Sku_4_Allocable_Temp/Sku_4_Mirrors) * POWER(10,12)/POWER(2,40)</f>
        <v>145.51915228366852</v>
      </c>
      <c r="J40" s="161">
        <f>(Sku_5_Allocable_Temp/Sku_5_Mirrors) * POWER(10,12)/POWER(2,40)</f>
        <v>261.93447411060333</v>
      </c>
      <c r="K40" s="161" cm="1">
        <f t="array" ref="K40">(Sku_6_Allocable_Temp/Sku_6_Mirrors) * POWER(10,12)/POWER(2,40)</f>
        <v>856.81676864624012</v>
      </c>
      <c r="V40" s="34"/>
      <c r="X40" s="33"/>
      <c r="Y40" s="59" t="s">
        <v>448</v>
      </c>
      <c r="Z40" s="161">
        <f>(Sku_1_Tenant_Allocable_Temp/Sku_1_Tenant_Mirrors) * POWER(10,12)/POWER(2,40)</f>
        <v>33.954468866189323</v>
      </c>
      <c r="AA40" s="161">
        <f>(Sku_2_Tenant_Allocable_Temp/Sku_2_Tenant_Mirrors) * POWER(10,12)/POWER(2,40)</f>
        <v>50.931703299283981</v>
      </c>
      <c r="AB40" s="161">
        <f>(Sku_3_Tenant_Allocable_Temp/Sku_3_Tenant_Mirrors) * POWER(10,12)/POWER(2,40)</f>
        <v>65.192580223083496</v>
      </c>
      <c r="AC40" s="161">
        <f>(Sku_4_Tenant_Allocable_Temp/Sku_4_Tenant_Mirrors) * POWER(10,12)/POWER(2,40)</f>
        <v>291.03830456733704</v>
      </c>
      <c r="AD40" s="161">
        <f>(Sku_5_Tenant_Allocable_Temp/Sku_5_Tenant_Mirrors) * POWER(10,12)/POWER(2,40)</f>
        <v>87.311491370201111</v>
      </c>
      <c r="AE40" s="161" cm="1">
        <f t="array" ref="AE40">(Sku_6_Tenant_Allocable_Temp/Sku_6_Tenant_Mirrors) * POWER(10,12)/POWER(2,40)</f>
        <v>856.81676864624012</v>
      </c>
    </row>
    <row r="41" spans="4:40" x14ac:dyDescent="0.25">
      <c r="E41" s="14" t="s">
        <v>449</v>
      </c>
      <c r="F41" s="160">
        <f>(Sku_1_Memory*0.65)*(TempStorageMultiplier)/1024</f>
        <v>1.3</v>
      </c>
      <c r="G41" s="160">
        <f>(Sku_2_Memory*0.65)*(TempStorageMultiplier)/1024</f>
        <v>2.6</v>
      </c>
      <c r="H41" s="160">
        <f>(Sku_3_Memory*0.65)*(TempStorageMultiplier)/1024</f>
        <v>2.6</v>
      </c>
      <c r="I41" s="160">
        <f>(Sku_4_Memory*0.65)*(TempStorageMultiplier)/1024</f>
        <v>2.6</v>
      </c>
      <c r="J41" s="160">
        <f>(Sku_5_Memory*0.65)*(TempStorageMultiplier)/1024</f>
        <v>3.9000000000000004</v>
      </c>
      <c r="K41" s="160">
        <f>(Sku_6_Memory*0.65)*(TempStorageMultiplier)/1024</f>
        <v>7.8000000000000007</v>
      </c>
      <c r="V41" s="34"/>
      <c r="Y41" s="14" t="s">
        <v>449</v>
      </c>
      <c r="Z41" s="160">
        <f>(Sku_1_Memory*0.65)*(TempStorageMultiplier)/1024</f>
        <v>1.3</v>
      </c>
      <c r="AA41" s="160">
        <f>(Sku_2_Memory*0.65)*(TempStorageMultiplier)/1024</f>
        <v>2.6</v>
      </c>
      <c r="AB41" s="160">
        <f>(Sku_3_Memory*0.65)*(TempStorageMultiplier)/1024</f>
        <v>2.6</v>
      </c>
      <c r="AC41" s="160">
        <f>(Sku_4_Memory*0.65)*(TempStorageMultiplier)/1024</f>
        <v>2.6</v>
      </c>
      <c r="AD41" s="160">
        <f>(Sku_5_Memory*0.65)*(TempStorageMultiplier)/1024</f>
        <v>3.9000000000000004</v>
      </c>
      <c r="AE41" s="160">
        <f>(Sku_6_Memory*0.65)*(TempStorageMultiplier)/1024</f>
        <v>7.8000000000000007</v>
      </c>
    </row>
    <row r="42" spans="4:40" ht="15.75" thickBot="1" x14ac:dyDescent="0.3">
      <c r="D42" s="33"/>
      <c r="E42" s="59" t="s">
        <v>450</v>
      </c>
      <c r="F42" s="161">
        <f>Sku_1_Temp_per_Server*Sku_1_Servers</f>
        <v>5.2</v>
      </c>
      <c r="G42" s="161">
        <f>Sku_2_Temp_per_Server*Sku_2_Servers</f>
        <v>20.8</v>
      </c>
      <c r="H42" s="161">
        <f>Sku_3_Temp_per_Server*Sku_3_Servers</f>
        <v>20.8</v>
      </c>
      <c r="I42" s="161">
        <f>Sku_4_Temp_per_Server*Sku_4_Servers</f>
        <v>20.8</v>
      </c>
      <c r="J42" s="161">
        <f>Sku_5_Temp_per_Server*Sku_5_Servers</f>
        <v>46.800000000000004</v>
      </c>
      <c r="K42" s="161" cm="1">
        <f t="array" ref="K42">Sku_6_Temp_per_Server*Sku_6_Servers</f>
        <v>124.80000000000001</v>
      </c>
      <c r="V42" s="34"/>
      <c r="X42" s="33"/>
      <c r="Y42" s="59" t="s">
        <v>451</v>
      </c>
      <c r="Z42" s="161">
        <f>Sku_1_Tenant_Temp_per_Server*Sku_1_Tenant_Servers</f>
        <v>5.2</v>
      </c>
      <c r="AA42" s="161">
        <f>Sku_2_Tenant_Temp_per_Server*Sku_2_Tenant_Servers</f>
        <v>10.4</v>
      </c>
      <c r="AB42" s="161">
        <f>Sku_3_Tenant_Temp_per_Server*Sku_3_Tenant_Servers</f>
        <v>20.8</v>
      </c>
      <c r="AC42" s="161">
        <f>Sku_4_Tenant_Temp_per_Server*Sku_4_Tenant_Servers</f>
        <v>41.6</v>
      </c>
      <c r="AD42" s="161">
        <f>Sku_5_Tenant_Temp_per_Server*Sku_5_Tenant_Servers</f>
        <v>15.600000000000001</v>
      </c>
      <c r="AE42" s="161" cm="1">
        <f t="array" ref="AE42">Sku_6_Tenant_Temp_per_Server*Sku_6_Tenant_Servers</f>
        <v>124.80000000000001</v>
      </c>
    </row>
    <row r="43" spans="4:40" ht="15.75" thickBot="1" x14ac:dyDescent="0.3">
      <c r="D43" s="57" t="s">
        <v>452</v>
      </c>
      <c r="E43" s="42"/>
      <c r="F43" s="162">
        <f>IF(Sku_1_Temp_per_Tenant/Sku_1_Temp_Avail_Capacity &gt; TempStorageMaximumRatio, Sku_1_Temp_Avail_Capacity*TempStorageMaximumRatio,Sku_1_Temp_per_Tenant)</f>
        <v>3.3954468866189327</v>
      </c>
      <c r="G43" s="162">
        <f>IF(Sku_2_Temp_per_Tenant/Sku_2_Temp_Avail_Capacity &gt; TempStorageMaximumRatio, Sku_2_Temp_Avail_Capacity*TempStorageMaximumRatio,Sku_2_Temp_per_Tenant)</f>
        <v>10.186340659856796</v>
      </c>
      <c r="H43" s="162">
        <f>IF(Sku_3_Temp_per_Tenant/Sku_3_Temp_Avail_Capacity &gt; TempStorageMaximumRatio, Sku_3_Temp_Avail_Capacity*TempStorageMaximumRatio,Sku_3_Temp_per_Tenant)</f>
        <v>6.5192580223083496</v>
      </c>
      <c r="I43" s="162">
        <f>IF(Sku_4_Temp_per_Tenant/Sku_4_Temp_Avail_Capacity &gt; TempStorageMaximumRatio, Sku_4_Temp_Avail_Capacity*TempStorageMaximumRatio,Sku_4_Temp_per_Tenant)</f>
        <v>14.551915228366852</v>
      </c>
      <c r="J43" s="162">
        <f>IF(Sku_5_Temp_per_Tenant/Sku_5_Temp_Avail_Capacity &gt; TempStorageMaximumRatio, Sku_5_Temp_Avail_Capacity*TempStorageMaximumRatio,Sku_5_Temp_per_Tenant)</f>
        <v>26.193447411060333</v>
      </c>
      <c r="K43" s="162" cm="1">
        <f t="array" ref="K43">IF(Sku_6_Temp_per_Tenant/Sku_6_Temp_Avail_Capacity &gt; TempStorageMaximumRatio, Sku_6_Temp_Avail_Capacity*TempStorageMaximumRatio,Sku_6_Temp_per_Tenant)</f>
        <v>85.681676864624023</v>
      </c>
      <c r="V43" s="34"/>
      <c r="X43" s="57" t="s">
        <v>452</v>
      </c>
      <c r="Y43" s="42"/>
      <c r="Z43" s="162">
        <f>IF(Sku_1_Tenant_Temp_per_Tenant/Sku_1_Tenant_Temp_Avail_Capacity &gt; TempStorageMaximumRatio, Sku_1_Tenant_Temp_Avail_Capacity*TempStorageMaximumRatio,Sku_1_Tenant_Temp_per_Tenant)</f>
        <v>3.3954468866189327</v>
      </c>
      <c r="AA43" s="162">
        <f>IF(Sku_2_Tenant_Temp_per_Tenant/Sku_2_Tenant_Temp_Avail_Capacity &gt; TempStorageMaximumRatio, Sku_2_Tenant_Temp_Avail_Capacity*TempStorageMaximumRatio,Sku_2_Tenant_Temp_per_Tenant)</f>
        <v>5.0931703299283981</v>
      </c>
      <c r="AB43" s="162">
        <f>IF(Sku_3_Tenant_Temp_per_Tenant/Sku_3_Tenant_Temp_Avail_Capacity &gt; TempStorageMaximumRatio, Sku_3_Tenant_Temp_Avail_Capacity*TempStorageMaximumRatio,Sku_3_Tenant_Temp_per_Tenant)</f>
        <v>6.5192580223083496</v>
      </c>
      <c r="AC43" s="162">
        <f>IF(Sku_4_Tenant_Temp_per_Tenant/Sku_4_Tenant_Temp_Avail_Capacity &gt; TempStorageMaximumRatio, Sku_4_Tenant_Temp_Avail_Capacity*TempStorageMaximumRatio,Sku_4_Tenant_Temp_per_Tenant)</f>
        <v>29.103830456733704</v>
      </c>
      <c r="AD43" s="162">
        <f>IF(Sku_5_Tenant_Temp_per_Tenant/Sku_5_Tenant_Temp_Avail_Capacity &gt; TempStorageMaximumRatio, Sku_5_Tenant_Temp_Avail_Capacity*TempStorageMaximumRatio,Sku_5_Tenant_Temp_per_Tenant)</f>
        <v>8.7311491370201111</v>
      </c>
      <c r="AE43" s="162" cm="1">
        <f t="array" ref="AE43">IF(Sku_6_Tenant_Temp_per_Tenant/Sku_6_Tenant_Temp_Avail_Capacity &gt; TempStorageMaximumRatio, Sku_6_Tenant_Temp_Avail_Capacity*TempStorageMaximumRatio,Sku_6_Tenant_Temp_per_Tenant)</f>
        <v>85.681676864624023</v>
      </c>
    </row>
    <row r="44" spans="4:40" x14ac:dyDescent="0.25">
      <c r="V44" s="34"/>
    </row>
    <row r="45" spans="4:40" ht="18.75" x14ac:dyDescent="0.3">
      <c r="D45" s="76" t="s">
        <v>428</v>
      </c>
      <c r="V45" s="34"/>
      <c r="X45" s="76" t="s">
        <v>429</v>
      </c>
    </row>
    <row r="46" spans="4:40" x14ac:dyDescent="0.25">
      <c r="D46" s="35" t="s">
        <v>453</v>
      </c>
      <c r="E46" s="35" t="s">
        <v>454</v>
      </c>
      <c r="F46" s="45" t="s">
        <v>318</v>
      </c>
      <c r="G46" s="35" t="s">
        <v>146</v>
      </c>
      <c r="H46" s="35" t="s">
        <v>455</v>
      </c>
      <c r="I46" s="35" t="s">
        <v>258</v>
      </c>
      <c r="J46" s="35" t="s">
        <v>89</v>
      </c>
      <c r="K46" s="35" t="s">
        <v>456</v>
      </c>
      <c r="L46" s="35" t="s">
        <v>457</v>
      </c>
      <c r="V46" s="34"/>
      <c r="X46" s="35" t="s">
        <v>453</v>
      </c>
      <c r="Y46" s="35" t="s">
        <v>454</v>
      </c>
      <c r="Z46" s="45" t="s">
        <v>318</v>
      </c>
      <c r="AA46" s="35" t="s">
        <v>146</v>
      </c>
      <c r="AB46" s="35" t="s">
        <v>455</v>
      </c>
      <c r="AC46" s="35" t="s">
        <v>258</v>
      </c>
      <c r="AD46" s="35" t="s">
        <v>89</v>
      </c>
      <c r="AE46" s="35" t="s">
        <v>436</v>
      </c>
    </row>
    <row r="47" spans="4:40" x14ac:dyDescent="0.25">
      <c r="D47" t="str">
        <f>Sku_1_Name</f>
        <v>Example 1</v>
      </c>
      <c r="E47" s="15">
        <f>Sku_1_Servers</f>
        <v>4</v>
      </c>
      <c r="F47" s="18">
        <f>NUmber_CPU_Cores_SKU1</f>
        <v>53.099999999999994</v>
      </c>
      <c r="G47" s="18">
        <f>Amount_Memory_SKU1</f>
        <v>348.79999999999995</v>
      </c>
      <c r="H47" s="18">
        <f>Available_Temp_Disk_SKU1</f>
        <v>3.3954468866189327</v>
      </c>
      <c r="I47" s="18">
        <f>Available_Disk_Storage_SKU1</f>
        <v>27.141053229570389</v>
      </c>
      <c r="J47">
        <f>Sku_1_Available_GPU_Number</f>
        <v>0</v>
      </c>
      <c r="K47" s="94">
        <f>Sku_1_Reserved_Memory</f>
        <v>407.2</v>
      </c>
      <c r="L47" s="160">
        <f>Sku_1_Memory*Sku_1_Servers</f>
        <v>1024</v>
      </c>
      <c r="V47" s="34"/>
      <c r="X47" t="str">
        <f>Sku_1_Name</f>
        <v>Example 1</v>
      </c>
      <c r="Y47" s="15">
        <f>Sku_1_Tenant_Servers</f>
        <v>4</v>
      </c>
      <c r="Z47" s="18">
        <f>Number_Tenant_CPU_Cores_SKU1</f>
        <v>53.099999999999994</v>
      </c>
      <c r="AA47" s="18">
        <f>Amount_Tenant_Memory_SKU1</f>
        <v>348.79999999999995</v>
      </c>
      <c r="AB47" s="18">
        <f>Available_Tenant_Temp_Disk_SKU1</f>
        <v>3.3954468866189327</v>
      </c>
      <c r="AC47" s="18">
        <f>Available_Tenant_Disk_Storage_SKU1</f>
        <v>27.141053229570389</v>
      </c>
      <c r="AD47" s="94">
        <f>SKU1_Available_Workload_GPU</f>
        <v>0</v>
      </c>
      <c r="AE47" s="94">
        <f>Sku_1_Tenant_Reserved_Memory</f>
        <v>407.2</v>
      </c>
    </row>
    <row r="48" spans="4:40" x14ac:dyDescent="0.25">
      <c r="D48" t="str">
        <f>Sku_2_Name</f>
        <v>Example 2</v>
      </c>
      <c r="E48" s="15">
        <f>Sku_2_Servers</f>
        <v>8</v>
      </c>
      <c r="F48" s="18">
        <f>NUmber_CPU_Cores_SKU2</f>
        <v>142.69999999999999</v>
      </c>
      <c r="G48" s="18">
        <f>Amount_Memory_SKU2</f>
        <v>2670.4</v>
      </c>
      <c r="H48" s="18">
        <f>Available_Temp_Disk_SKU2</f>
        <v>10.186340659856796</v>
      </c>
      <c r="I48" s="18">
        <f>Available_Disk_Storage_SKU2</f>
        <v>88.259097188711166</v>
      </c>
      <c r="J48">
        <f>Sku_2_Available_GPU_Number</f>
        <v>0</v>
      </c>
      <c r="K48" s="94">
        <f>Sku_2_Reserved_Memory</f>
        <v>1157.5999999999999</v>
      </c>
      <c r="L48" s="18">
        <f>Sku_2_Memory*Sku_2_Servers</f>
        <v>4096</v>
      </c>
      <c r="V48" s="34"/>
      <c r="X48" t="str">
        <f>Sku_2_Name</f>
        <v>Example 2</v>
      </c>
      <c r="Y48" s="15">
        <f>Sku_2_Tenant_Servers</f>
        <v>4</v>
      </c>
      <c r="Z48" s="18">
        <f>Number_Tenant_CPU_Cores_SKU2</f>
        <v>53.099999999999994</v>
      </c>
      <c r="AA48" s="18">
        <f>Amount_Tenant_Memory_SKU2</f>
        <v>1001.5999999999999</v>
      </c>
      <c r="AB48" s="18">
        <f>Available_Tenant_Temp_Disk_SKU2</f>
        <v>5.0931703299283981</v>
      </c>
      <c r="AC48" s="18">
        <f>Available_Tenant_Disk_Storage_SKU2</f>
        <v>42.420564219355583</v>
      </c>
      <c r="AD48" s="94">
        <f>SKU2_Available_Workload_GPU</f>
        <v>0</v>
      </c>
      <c r="AE48" s="94">
        <f>Sku_2_Tenant_Reserved_Memory</f>
        <v>778.4</v>
      </c>
    </row>
    <row r="49" spans="3:31" x14ac:dyDescent="0.25">
      <c r="D49" t="str">
        <f>Sku_3_Name</f>
        <v>Example 3</v>
      </c>
      <c r="E49" s="15">
        <f>Sku_3_Servers</f>
        <v>8</v>
      </c>
      <c r="F49" s="18">
        <f>NUmber_CPU_Cores_SKU3</f>
        <v>142.69999999999999</v>
      </c>
      <c r="G49" s="18">
        <f>Amount_Memory_SKU3</f>
        <v>2670.4</v>
      </c>
      <c r="H49" s="18">
        <f>Available_Temp_Disk_SKU3</f>
        <v>6.5192580223083496</v>
      </c>
      <c r="I49" s="18">
        <f>Available_Disk_Storage_SKU3</f>
        <v>55.255353450775146</v>
      </c>
      <c r="J49">
        <f>Sku_3_Available_GPU_Number</f>
        <v>0</v>
      </c>
      <c r="K49" s="94">
        <f>Sku_3_Reserved_Memory</f>
        <v>1157.5999999999999</v>
      </c>
      <c r="L49" s="160">
        <f>Sku_3_Memory*Sku_3_Servers</f>
        <v>4096</v>
      </c>
      <c r="V49" s="34"/>
      <c r="X49" t="str">
        <f>Sku_3_Name</f>
        <v>Example 3</v>
      </c>
      <c r="Y49" s="15">
        <f>Sku_3_Tenant_Servers</f>
        <v>8</v>
      </c>
      <c r="Z49" s="18">
        <f>Number_Tenant_CPU_Cores_SKU3</f>
        <v>142.69999999999999</v>
      </c>
      <c r="AA49" s="18">
        <f>Amount_Tenant_Memory_SKU3</f>
        <v>2670.4</v>
      </c>
      <c r="AB49" s="18">
        <f>Available_Tenant_Temp_Disk_SKU3</f>
        <v>6.5192580223083496</v>
      </c>
      <c r="AC49" s="18">
        <f>Available_Tenant_Disk_Storage_SKU3</f>
        <v>55.255353450775146</v>
      </c>
      <c r="AD49" s="94">
        <f>SKU3_Available_Workload_GPU</f>
        <v>0</v>
      </c>
      <c r="AE49" s="94">
        <f>Sku_3_Tenant_Reserved_Memory</f>
        <v>1157.5999999999999</v>
      </c>
    </row>
    <row r="50" spans="3:31" x14ac:dyDescent="0.25">
      <c r="D50" t="str">
        <f>Sku_4_Name</f>
        <v>Example 4</v>
      </c>
      <c r="E50" s="15">
        <f>Sku_4_Servers</f>
        <v>8</v>
      </c>
      <c r="F50" s="18">
        <f>NUmber_CPU_Cores_SKU4</f>
        <v>193.9</v>
      </c>
      <c r="G50" s="18">
        <f>Amount_Memory_SKU4</f>
        <v>2670.4</v>
      </c>
      <c r="H50" s="18">
        <f>Available_Temp_Disk_SKU4</f>
        <v>14.551915228366852</v>
      </c>
      <c r="I50" s="18">
        <f>Available_Disk_Storage_SKU4</f>
        <v>127.54926830530167</v>
      </c>
      <c r="J50">
        <f>Sku_4_Available_GPU_Number</f>
        <v>0</v>
      </c>
      <c r="K50" s="94">
        <f>Sku_4_Reserved_Memory</f>
        <v>1157.5999999999999</v>
      </c>
      <c r="L50" s="18">
        <f>Sku_4_Memory*Sku_4_Servers</f>
        <v>4096</v>
      </c>
      <c r="V50" s="34"/>
      <c r="X50" t="str">
        <f>Sku_4_Name</f>
        <v>Example 4</v>
      </c>
      <c r="Y50" s="15">
        <f>Sku_4_Tenant_Servers</f>
        <v>16</v>
      </c>
      <c r="Z50" s="18">
        <f>Number_Tenant_CPU_Cores_SKU4</f>
        <v>424.3</v>
      </c>
      <c r="AA50" s="18">
        <f>Amount_Tenant_Memory_SKU4</f>
        <v>6008</v>
      </c>
      <c r="AB50" s="18">
        <f>Available_Tenant_Temp_Disk_SKU4</f>
        <v>29.103830456733704</v>
      </c>
      <c r="AC50" s="18">
        <f>Available_Tenant_Disk_Storage_SKU4</f>
        <v>258.51650536060333</v>
      </c>
      <c r="AD50" s="94">
        <f>SKU4_Available_Workload_GPU</f>
        <v>0</v>
      </c>
      <c r="AE50" s="94">
        <f>Sku_4_Tenant_Reserved_Memory</f>
        <v>1916</v>
      </c>
    </row>
    <row r="51" spans="3:31" x14ac:dyDescent="0.25">
      <c r="D51" t="str">
        <f>Sku_5_Name</f>
        <v>Example 5</v>
      </c>
      <c r="E51" s="15">
        <f>Sku_5_Servers</f>
        <v>12</v>
      </c>
      <c r="F51" s="18">
        <f>NUmber_CPU_Cores_SKU5</f>
        <v>385.9</v>
      </c>
      <c r="G51" s="18">
        <f>Amount_Memory_SKU5</f>
        <v>6732.8</v>
      </c>
      <c r="H51" s="18">
        <f>Available_Temp_Disk_SKU5</f>
        <v>26.193447411060333</v>
      </c>
      <c r="I51" s="18">
        <f>Available_Disk_Storage_SKU5</f>
        <v>232.323057949543</v>
      </c>
      <c r="J51">
        <f>Sku_5_Available_GPU_Number</f>
        <v>0</v>
      </c>
      <c r="K51" s="94">
        <f>Sku_5_Reserved_Memory</f>
        <v>2215.1999999999998</v>
      </c>
      <c r="L51" s="160">
        <f>Sku_5_Memory*Sku_5_Servers</f>
        <v>9216</v>
      </c>
      <c r="V51" s="34"/>
      <c r="X51" t="str">
        <f>Sku_5_Name</f>
        <v>Example 5</v>
      </c>
      <c r="Y51" s="15">
        <f>Sku_5_Tenant_Servers</f>
        <v>4</v>
      </c>
      <c r="Z51" s="18">
        <f>Number_Tenant_CPU_Cores_SKU5</f>
        <v>104.3</v>
      </c>
      <c r="AA51" s="18">
        <f>Amount_Tenant_Memory_SKU5</f>
        <v>1654.4</v>
      </c>
      <c r="AB51" s="18">
        <f>Available_Tenant_Temp_Disk_SKU5</f>
        <v>8.7311491370201111</v>
      </c>
      <c r="AC51" s="18">
        <f>Available_Tenant_Disk_Storage_SKU5</f>
        <v>75.162373483181</v>
      </c>
      <c r="AD51" s="94">
        <f>SKU5_Available_Workload_GPU</f>
        <v>0</v>
      </c>
      <c r="AE51" s="94">
        <f>Sku_5_Tenant_Reserved_Memory</f>
        <v>1149.5999999999999</v>
      </c>
    </row>
    <row r="52" spans="3:31" x14ac:dyDescent="0.25">
      <c r="D52" t="s">
        <v>44</v>
      </c>
      <c r="E52" s="15">
        <f>Sku_6_Servers</f>
        <v>16</v>
      </c>
      <c r="F52" s="18" cm="1">
        <f t="array" ref="F52">NUmber_CPU_Cores_SKU6</f>
        <v>1294.7</v>
      </c>
      <c r="G52" s="18" cm="1">
        <f t="array" ref="G52">Amount_Memory_SKU6</f>
        <v>19064</v>
      </c>
      <c r="H52" s="18" cm="1">
        <f t="array" ref="H52">Available_Temp_Disk_SKU6</f>
        <v>85.681676864624023</v>
      </c>
      <c r="I52" s="18" cm="1">
        <f t="array" ref="I52">Available_Disk_Storage_SKU6</f>
        <v>767.7171230316161</v>
      </c>
      <c r="J52">
        <f>Sku_6_Available_GPU_Number</f>
        <v>32</v>
      </c>
      <c r="K52" s="94">
        <f>Sku_6_Reserved_Memory</f>
        <v>5244</v>
      </c>
      <c r="L52" s="160">
        <f>Sku_6_Memory*Sku_6_Servers</f>
        <v>24576</v>
      </c>
      <c r="V52" s="34"/>
      <c r="X52" t="s">
        <v>44</v>
      </c>
      <c r="Y52" s="15">
        <f>Sku_6_Tenant_Servers</f>
        <v>16</v>
      </c>
      <c r="Z52" s="18">
        <f>Number_Tenant_CPU_Cores_SKU6</f>
        <v>1294.7</v>
      </c>
      <c r="AA52" s="18">
        <f>Amount_Tenant_Memory_SKU6</f>
        <v>19064</v>
      </c>
      <c r="AB52" s="18">
        <f>Available_Tenant_Temp_Disk_SKU6</f>
        <v>85.681676864624023</v>
      </c>
      <c r="AC52" s="18">
        <f>Available_Tenant_Disk_Storage_SKU6</f>
        <v>767.7171230316161</v>
      </c>
      <c r="AD52" s="94">
        <f>SKU6_Available_Workload_GPU</f>
        <v>32</v>
      </c>
      <c r="AE52" s="94">
        <f>Sku_6_Tenant_Reserved_Memory</f>
        <v>5244</v>
      </c>
    </row>
    <row r="53" spans="3:31" x14ac:dyDescent="0.25">
      <c r="V53" s="34"/>
    </row>
    <row r="54" spans="3:31" ht="18.75" x14ac:dyDescent="0.3">
      <c r="D54" s="76" t="s">
        <v>428</v>
      </c>
      <c r="V54" s="34"/>
      <c r="X54" s="76" t="s">
        <v>429</v>
      </c>
    </row>
    <row r="55" spans="3:31" x14ac:dyDescent="0.25">
      <c r="D55" s="40" t="s">
        <v>453</v>
      </c>
      <c r="E55" s="40" t="s">
        <v>454</v>
      </c>
      <c r="V55" s="34"/>
      <c r="X55" s="40" t="s">
        <v>453</v>
      </c>
      <c r="Y55" s="40" t="s">
        <v>454</v>
      </c>
    </row>
    <row r="56" spans="3:31" x14ac:dyDescent="0.25">
      <c r="D56" t="str">
        <f>D4</f>
        <v>Example 1</v>
      </c>
      <c r="E56" s="15">
        <f>Sku_1_Servers</f>
        <v>4</v>
      </c>
      <c r="V56" s="34"/>
      <c r="X56" t="str">
        <f>X47</f>
        <v>Example 1</v>
      </c>
      <c r="Y56" s="15">
        <f>Sku_1_Tenant_Servers</f>
        <v>4</v>
      </c>
    </row>
    <row r="57" spans="3:31" x14ac:dyDescent="0.25">
      <c r="D57" t="str">
        <f>E4</f>
        <v>Example 2</v>
      </c>
      <c r="E57" s="15">
        <f>Sku_2_Servers</f>
        <v>8</v>
      </c>
      <c r="V57" s="34"/>
      <c r="X57" t="str">
        <f t="shared" ref="X57:X60" si="9">X48</f>
        <v>Example 2</v>
      </c>
      <c r="Y57" s="15">
        <f>Sku_2_Tenant_Servers</f>
        <v>4</v>
      </c>
    </row>
    <row r="58" spans="3:31" x14ac:dyDescent="0.25">
      <c r="D58" t="str">
        <f>F4</f>
        <v>Example 3</v>
      </c>
      <c r="E58" s="15">
        <f>Sku_3_Servers</f>
        <v>8</v>
      </c>
      <c r="V58" s="34"/>
      <c r="X58" t="str">
        <f t="shared" si="9"/>
        <v>Example 3</v>
      </c>
      <c r="Y58" s="15">
        <f>Sku_3_Tenant_Servers</f>
        <v>8</v>
      </c>
    </row>
    <row r="59" spans="3:31" x14ac:dyDescent="0.25">
      <c r="D59" t="str">
        <f>G4</f>
        <v>Example 4</v>
      </c>
      <c r="E59" s="15">
        <f>Sku_4_Servers</f>
        <v>8</v>
      </c>
      <c r="V59" s="34"/>
      <c r="X59" t="str">
        <f t="shared" si="9"/>
        <v>Example 4</v>
      </c>
      <c r="Y59" s="15">
        <f>Sku_4_Tenant_Servers</f>
        <v>16</v>
      </c>
    </row>
    <row r="60" spans="3:31" x14ac:dyDescent="0.25">
      <c r="D60" t="str">
        <f>H4</f>
        <v>Example 5</v>
      </c>
      <c r="E60" s="15">
        <f>Sku_5_Servers</f>
        <v>12</v>
      </c>
      <c r="V60" s="34"/>
      <c r="X60" t="str">
        <f t="shared" si="9"/>
        <v>Example 5</v>
      </c>
      <c r="Y60" s="15">
        <f>Sku_5_Tenant_Servers</f>
        <v>4</v>
      </c>
    </row>
    <row r="61" spans="3:31" x14ac:dyDescent="0.25">
      <c r="D61" t="s">
        <v>44</v>
      </c>
      <c r="E61" s="15">
        <f>Sku_6_Servers</f>
        <v>16</v>
      </c>
      <c r="V61" s="34"/>
      <c r="X61" t="s">
        <v>44</v>
      </c>
      <c r="Y61" s="15">
        <f>Sku_6_Tenant_Servers</f>
        <v>16</v>
      </c>
    </row>
    <row r="62" spans="3:31" x14ac:dyDescent="0.25">
      <c r="V62" s="34"/>
    </row>
    <row r="63" spans="3:31" x14ac:dyDescent="0.25">
      <c r="V63" s="34"/>
    </row>
    <row r="64" spans="3:31" ht="15.75" x14ac:dyDescent="0.25">
      <c r="C64" s="209"/>
      <c r="D64" s="209"/>
      <c r="V64" s="34"/>
    </row>
    <row r="65" spans="3:22" ht="15.75" x14ac:dyDescent="0.25">
      <c r="C65" s="209"/>
      <c r="D65" s="209"/>
      <c r="V65" s="34"/>
    </row>
    <row r="66" spans="3:22" s="34" customFormat="1" ht="15.75" x14ac:dyDescent="0.25">
      <c r="D66" s="212"/>
    </row>
  </sheetData>
  <mergeCells count="1">
    <mergeCell ref="AG27:AH27"/>
  </mergeCells>
  <dataValidations count="1">
    <dataValidation type="whole" allowBlank="1" showInputMessage="1" showErrorMessage="1" sqref="D5:I5 D14:I14" xr:uid="{00000000-0002-0000-0D00-000000000000}">
      <formula1>4</formula1>
      <formula2>12</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B1:Z216"/>
  <sheetViews>
    <sheetView topLeftCell="A186" zoomScale="70" zoomScaleNormal="70" workbookViewId="0">
      <selection activeCell="Y192" sqref="Y192"/>
    </sheetView>
  </sheetViews>
  <sheetFormatPr defaultColWidth="8.85546875" defaultRowHeight="15" x14ac:dyDescent="0.25"/>
  <cols>
    <col min="3" max="3" width="17" customWidth="1"/>
    <col min="4" max="4" width="10.85546875" customWidth="1"/>
    <col min="5" max="5" width="11.42578125" customWidth="1"/>
    <col min="14" max="14" width="9" customWidth="1"/>
    <col min="15" max="15" width="10.42578125" customWidth="1"/>
    <col min="16" max="16" width="10.85546875" customWidth="1"/>
    <col min="21" max="21" width="18.5703125" bestFit="1" customWidth="1"/>
    <col min="25" max="25" width="10.42578125" customWidth="1"/>
    <col min="26" max="26" width="11.42578125" customWidth="1"/>
  </cols>
  <sheetData>
    <row r="1" spans="2:17" ht="15.75" x14ac:dyDescent="0.25">
      <c r="B1" s="54" t="s">
        <v>458</v>
      </c>
      <c r="C1" s="53"/>
      <c r="D1" s="53"/>
      <c r="E1" s="53"/>
      <c r="F1" s="53"/>
    </row>
    <row r="2" spans="2:17" x14ac:dyDescent="0.25">
      <c r="C2" t="s">
        <v>459</v>
      </c>
      <c r="N2" t="s">
        <v>460</v>
      </c>
    </row>
    <row r="3" spans="2:17" x14ac:dyDescent="0.25">
      <c r="C3" t="s">
        <v>406</v>
      </c>
      <c r="D3" t="s">
        <v>461</v>
      </c>
      <c r="E3" t="s">
        <v>407</v>
      </c>
      <c r="N3" t="s">
        <v>406</v>
      </c>
      <c r="O3" t="s">
        <v>461</v>
      </c>
      <c r="P3" t="s">
        <v>407</v>
      </c>
    </row>
    <row r="4" spans="2:17" x14ac:dyDescent="0.25">
      <c r="B4" t="s">
        <v>462</v>
      </c>
      <c r="C4" t="e">
        <f>(Number_Workload_CPU_Cores_SKU1)-Consumed_Workload_CPU_Cores</f>
        <v>#NAME?</v>
      </c>
      <c r="D4" t="e">
        <f t="shared" ref="D4:D9" si="0">Consumed_Workload_CPU_Cores</f>
        <v>#NAME?</v>
      </c>
      <c r="E4" s="4" t="e">
        <f>((Number_Workload_CPU_Cores_SKU1)-Consumed_Workload_CPU_Cores)/(Number_Workload_CPU_Cores_SKU1)</f>
        <v>#NAME?</v>
      </c>
      <c r="M4" t="s">
        <v>462</v>
      </c>
      <c r="N4" s="7" t="e">
        <f>(Available_Workload_Temp_Disk_SKU1)-(Consumed_Workload_Temp_Storage/1024)</f>
        <v>#NAME?</v>
      </c>
      <c r="O4" s="48" t="e">
        <f t="shared" ref="O4:O9" si="1">Consumed_Workload_Temp_Storage/1024</f>
        <v>#NAME?</v>
      </c>
      <c r="P4" t="e">
        <f>((Available_Workload_Temp_Disk_SKU1) - (Consumed_Workload_Temp_Storage/1024))/(Available_Workload_Temp_Disk_SKU1)</f>
        <v>#NAME?</v>
      </c>
      <c r="Q4" t="s">
        <v>257</v>
      </c>
    </row>
    <row r="5" spans="2:17" x14ac:dyDescent="0.25">
      <c r="B5" t="s">
        <v>463</v>
      </c>
      <c r="C5" t="e">
        <f>(Number_Workload_CPU_Cores_SKU2)-Consumed_Workload_CPU_Cores</f>
        <v>#NAME?</v>
      </c>
      <c r="D5" t="e">
        <f t="shared" si="0"/>
        <v>#NAME?</v>
      </c>
      <c r="E5" s="4" t="e">
        <f>((Number_Workload_CPU_Cores_SKU2)-Consumed_Workload_CPU_Cores)/(Number_Workload_CPU_Cores_SKU2)</f>
        <v>#NAME?</v>
      </c>
      <c r="M5" t="s">
        <v>463</v>
      </c>
      <c r="N5" s="7" t="e">
        <f>(Available_Workload_Temp_Disk_SKU2)-(Consumed_Workload_Temp_Storage/1024)</f>
        <v>#NAME?</v>
      </c>
      <c r="O5" s="48" t="e">
        <f t="shared" si="1"/>
        <v>#NAME?</v>
      </c>
      <c r="P5" t="e">
        <f>((Available_Workload_Temp_Disk_SKU2) - (Consumed_Workload_Temp_Storage/1024))/(Available_Workload_Temp_Disk_SKU2)</f>
        <v>#NAME?</v>
      </c>
      <c r="Q5" t="s">
        <v>257</v>
      </c>
    </row>
    <row r="6" spans="2:17" x14ac:dyDescent="0.25">
      <c r="B6" t="s">
        <v>464</v>
      </c>
      <c r="C6" t="e">
        <f>(Number_Workload_CPU_Cores_SKU3)-Consumed_Workload_CPU_Cores</f>
        <v>#NAME?</v>
      </c>
      <c r="D6" t="e">
        <f t="shared" si="0"/>
        <v>#NAME?</v>
      </c>
      <c r="E6" s="4" t="e">
        <f>((Number_Workload_CPU_Cores_SKU3)-Consumed_Workload_CPU_Cores)/(Number_Workload_CPU_Cores_SKU3)</f>
        <v>#NAME?</v>
      </c>
      <c r="M6" t="s">
        <v>464</v>
      </c>
      <c r="N6" s="7" t="e">
        <f>(Available_Workload_Temp_Disk_SKU3)-(Consumed_Workload_Temp_Storage/1024)</f>
        <v>#NAME?</v>
      </c>
      <c r="O6" s="48" t="e">
        <f t="shared" si="1"/>
        <v>#NAME?</v>
      </c>
      <c r="P6" t="e">
        <f>((Available_Workload_Temp_Disk_SKU3) - (Consumed_Workload_Temp_Storage/1024))/(Available_Workload_Temp_Disk_SKU3)</f>
        <v>#NAME?</v>
      </c>
      <c r="Q6" t="s">
        <v>257</v>
      </c>
    </row>
    <row r="7" spans="2:17" x14ac:dyDescent="0.25">
      <c r="B7" t="s">
        <v>465</v>
      </c>
      <c r="C7" t="e">
        <f>(Number_Workload_CPU_Cores_SKU4)-Consumed_Workload_CPU_Cores</f>
        <v>#NAME?</v>
      </c>
      <c r="D7" t="e">
        <f t="shared" si="0"/>
        <v>#NAME?</v>
      </c>
      <c r="E7" s="4" t="e">
        <f>((Number_Workload_CPU_Cores_SKU4)-Consumed_Workload_CPU_Cores)/(Number_Workload_CPU_Cores_SKU4)</f>
        <v>#NAME?</v>
      </c>
      <c r="M7" t="s">
        <v>465</v>
      </c>
      <c r="N7" s="7" t="e">
        <f>(Available_Workload_Temp_Disk_SKU4)-(Consumed_Workload_Temp_Storage/1024)</f>
        <v>#NAME?</v>
      </c>
      <c r="O7" s="48" t="e">
        <f t="shared" si="1"/>
        <v>#NAME?</v>
      </c>
      <c r="P7" t="e">
        <f>((Available_Workload_Temp_Disk_SKU4) - (Consumed_Workload_Temp_Storage/1024))/(Available_Workload_Temp_Disk_SKU4)</f>
        <v>#NAME?</v>
      </c>
      <c r="Q7" t="s">
        <v>257</v>
      </c>
    </row>
    <row r="8" spans="2:17" x14ac:dyDescent="0.25">
      <c r="B8" t="s">
        <v>466</v>
      </c>
      <c r="C8" t="e">
        <f>(Number_Workload_CPU_Cores_SKU5)-Consumed_Workload_CPU_Cores</f>
        <v>#NAME?</v>
      </c>
      <c r="D8" t="e">
        <f t="shared" si="0"/>
        <v>#NAME?</v>
      </c>
      <c r="E8" s="4" t="e">
        <f>((Number_Workload_CPU_Cores_SKU5)-Consumed_Workload_CPU_Cores)/(Number_Workload_CPU_Cores_SKU5)</f>
        <v>#NAME?</v>
      </c>
      <c r="M8" t="s">
        <v>466</v>
      </c>
      <c r="N8" s="7" t="e">
        <f>(Available_Workload_Temp_Disk_SKU5)-(Consumed_Workload_Temp_Storage/1024)</f>
        <v>#NAME?</v>
      </c>
      <c r="O8" s="48" t="e">
        <f t="shared" si="1"/>
        <v>#NAME?</v>
      </c>
      <c r="P8" t="e">
        <f>((Available_Workload_Temp_Disk_SKU5) - (Consumed_Workload_Temp_Storage/1024))/(Available_Workload_Temp_Disk_SKU5)</f>
        <v>#NAME?</v>
      </c>
      <c r="Q8" t="s">
        <v>257</v>
      </c>
    </row>
    <row r="9" spans="2:17" x14ac:dyDescent="0.25">
      <c r="B9" t="s">
        <v>467</v>
      </c>
      <c r="C9" t="e" cm="1">
        <f t="array" ref="C9">(Number_Workload_CPU_Cores_SKU6)-_xlfn.SINGLE(Consumed_Workload_CPU_Cores)</f>
        <v>#NAME?</v>
      </c>
      <c r="D9" t="e">
        <f t="shared" si="0"/>
        <v>#NAME?</v>
      </c>
      <c r="E9" s="4" t="e" cm="1">
        <f t="array" ref="E9">((Number_Workload_CPU_Cores_SKU6)-_xlfn.SINGLE(Consumed_Workload_CPU_Cores))/(Number_Workload_CPU_Cores_SKU6)</f>
        <v>#NAME?</v>
      </c>
      <c r="M9" t="s">
        <v>467</v>
      </c>
      <c r="N9" s="7" t="e" cm="1">
        <f t="array" ref="N9">(Available_Workload_Temp_Disk_SKU6)-(_xlfn.SINGLE(Consumed_Workload_Temp_Storage)/1024)</f>
        <v>#NAME?</v>
      </c>
      <c r="O9" s="48" t="e">
        <f t="shared" si="1"/>
        <v>#NAME?</v>
      </c>
      <c r="P9" t="e" cm="1">
        <f t="array" ref="P9">((Available_Workload_Temp_Disk_SKU6) - (_xlfn.SINGLE(Consumed_Workload_Temp_Storage)/1024))/(Available_Workload_Temp_Disk_SKU6)</f>
        <v>#NAME?</v>
      </c>
      <c r="Q9" t="s">
        <v>257</v>
      </c>
    </row>
    <row r="19" spans="2:17" x14ac:dyDescent="0.25">
      <c r="C19" t="s">
        <v>468</v>
      </c>
    </row>
    <row r="20" spans="2:17" x14ac:dyDescent="0.25">
      <c r="C20" t="s">
        <v>406</v>
      </c>
      <c r="D20" t="s">
        <v>461</v>
      </c>
      <c r="E20" t="s">
        <v>407</v>
      </c>
      <c r="N20" t="s">
        <v>469</v>
      </c>
    </row>
    <row r="21" spans="2:17" x14ac:dyDescent="0.25">
      <c r="B21" t="s">
        <v>462</v>
      </c>
      <c r="C21" t="e">
        <f>(Amount_Workload_Memory_SKU1)-Consumed_Workload_Memory</f>
        <v>#NAME?</v>
      </c>
      <c r="D21" t="e">
        <f t="shared" ref="D21:D26" si="2">Consumed_Workload_Memory</f>
        <v>#NAME?</v>
      </c>
      <c r="E21" t="e">
        <f>((Amount_Workload_Memory_SKU1)-Consumed_Workload_Memory)/(Amount_Workload_Memory_SKU1)</f>
        <v>#NAME?</v>
      </c>
      <c r="N21" t="s">
        <v>406</v>
      </c>
      <c r="O21" t="s">
        <v>461</v>
      </c>
      <c r="P21" t="s">
        <v>407</v>
      </c>
    </row>
    <row r="22" spans="2:17" x14ac:dyDescent="0.25">
      <c r="B22" t="s">
        <v>463</v>
      </c>
      <c r="C22" t="e">
        <f>(Amount_Workload_Memory_SKU2)-Consumed_Workload_Memory</f>
        <v>#NAME?</v>
      </c>
      <c r="D22" t="e">
        <f t="shared" si="2"/>
        <v>#NAME?</v>
      </c>
      <c r="E22" t="e">
        <f>((Amount_Workload_Memory_SKU2)-Consumed_Workload_Memory)/(Amount_Workload_Memory_SKU2)</f>
        <v>#NAME?</v>
      </c>
      <c r="M22" t="s">
        <v>462</v>
      </c>
      <c r="N22" s="7" t="e">
        <f>(Available_Workload_Disk_Storage_SKU1)-(Consumed_Workload_External_Storage/1024)</f>
        <v>#NAME?</v>
      </c>
      <c r="O22" t="e">
        <f t="shared" ref="O22:O27" si="3">Consumed_Workload_External_Storage/1024</f>
        <v>#NAME?</v>
      </c>
      <c r="P22" t="e">
        <f>((Available_Workload_Disk_Storage_SKU1)-(Consumed_Workload_External_Storage/1024))/(Available_Workload_Disk_Storage_SKU1)</f>
        <v>#NAME?</v>
      </c>
      <c r="Q22" t="s">
        <v>257</v>
      </c>
    </row>
    <row r="23" spans="2:17" x14ac:dyDescent="0.25">
      <c r="B23" t="s">
        <v>464</v>
      </c>
      <c r="C23" t="e">
        <f>(Amount_Workload_Memory_SKU3)-Consumed_Workload_Memory</f>
        <v>#NAME?</v>
      </c>
      <c r="D23" t="e">
        <f t="shared" si="2"/>
        <v>#NAME?</v>
      </c>
      <c r="E23" t="e">
        <f>((Amount_Workload_Memory_SKU3)-Consumed_Workload_Memory)/(Amount_Workload_Memory_SKU3)</f>
        <v>#NAME?</v>
      </c>
      <c r="M23" t="s">
        <v>463</v>
      </c>
      <c r="N23" s="7" t="e">
        <f>(Available_Workload_Disk_Storage_SKU2)-(Consumed_Workload_External_Storage/1024)</f>
        <v>#NAME?</v>
      </c>
      <c r="O23" t="e">
        <f t="shared" si="3"/>
        <v>#NAME?</v>
      </c>
      <c r="P23" t="e">
        <f>((Available_Workload_Disk_Storage_SKU2)-(Consumed_Workload_External_Storage/1024))/(Available_Workload_Disk_Storage_SKU2)</f>
        <v>#NAME?</v>
      </c>
      <c r="Q23" t="s">
        <v>257</v>
      </c>
    </row>
    <row r="24" spans="2:17" x14ac:dyDescent="0.25">
      <c r="B24" t="s">
        <v>465</v>
      </c>
      <c r="C24" t="e">
        <f>(Amount_Workload_Memory_SKU4)-Consumed_Workload_Memory</f>
        <v>#NAME?</v>
      </c>
      <c r="D24" t="e">
        <f t="shared" si="2"/>
        <v>#NAME?</v>
      </c>
      <c r="E24" t="e">
        <f>((Amount_Workload_Memory_SKU4)-Consumed_Workload_Memory)/(Amount_Workload_Memory_SKU4)</f>
        <v>#NAME?</v>
      </c>
      <c r="M24" t="s">
        <v>464</v>
      </c>
      <c r="N24" s="7" t="e">
        <f>(Available_Workload_Disk_Storage_SKU3)-(Consumed_Workload_External_Storage/1024)</f>
        <v>#NAME?</v>
      </c>
      <c r="O24" t="e">
        <f t="shared" si="3"/>
        <v>#NAME?</v>
      </c>
      <c r="P24" t="e">
        <f>((Available_Workload_Disk_Storage_SKU3)-(Consumed_Workload_External_Storage/1024))/(Available_Workload_Disk_Storage_SKU3)</f>
        <v>#NAME?</v>
      </c>
      <c r="Q24" t="s">
        <v>257</v>
      </c>
    </row>
    <row r="25" spans="2:17" x14ac:dyDescent="0.25">
      <c r="B25" t="s">
        <v>466</v>
      </c>
      <c r="C25" t="e">
        <f>(Amount_Workload_Memory_SKU5)-Consumed_Workload_Memory</f>
        <v>#NAME?</v>
      </c>
      <c r="D25" t="e">
        <f t="shared" si="2"/>
        <v>#NAME?</v>
      </c>
      <c r="E25" t="e">
        <f>((Amount_Workload_Memory_SKU5)-Consumed_Workload_Memory)/(Amount_Workload_Memory_SKU5)</f>
        <v>#NAME?</v>
      </c>
      <c r="M25" t="s">
        <v>465</v>
      </c>
      <c r="N25" s="7" t="e">
        <f>(Available_Workload_Disk_Storage_SKU4)-(Consumed_Workload_External_Storage/1024)</f>
        <v>#NAME?</v>
      </c>
      <c r="O25" t="e">
        <f t="shared" si="3"/>
        <v>#NAME?</v>
      </c>
      <c r="P25" t="e">
        <f>((Available_Workload_Disk_Storage_SKU4)-(Consumed_Workload_External_Storage/1024))/(Available_Workload_Disk_Storage_SKU4)</f>
        <v>#NAME?</v>
      </c>
      <c r="Q25" t="s">
        <v>257</v>
      </c>
    </row>
    <row r="26" spans="2:17" x14ac:dyDescent="0.25">
      <c r="B26" t="s">
        <v>467</v>
      </c>
      <c r="C26" t="e" cm="1">
        <f t="array" ref="C26">(Amount_Workload_Memory_SKU6)-_xlfn.SINGLE(Consumed_Workload_Memory)</f>
        <v>#NAME?</v>
      </c>
      <c r="D26" t="e">
        <f t="shared" si="2"/>
        <v>#NAME?</v>
      </c>
      <c r="E26" t="e" cm="1">
        <f t="array" ref="E26">((Amount_Workload_Memory_SKU6)-_xlfn.SINGLE(Consumed_Workload_Memory))/(Amount_Workload_Memory_SKU6)</f>
        <v>#NAME?</v>
      </c>
      <c r="M26" t="s">
        <v>466</v>
      </c>
      <c r="N26" s="7" t="e">
        <f>(Available_Workload_Disk_Storage_SKU5)-(Consumed_Workload_External_Storage/1024)</f>
        <v>#NAME?</v>
      </c>
      <c r="O26" t="e">
        <f t="shared" si="3"/>
        <v>#NAME?</v>
      </c>
      <c r="P26" t="e">
        <f>((Available_Workload_Disk_Storage_SKU5)-(Consumed_Workload_External_Storage/1024))/(Available_Workload_Disk_Storage_SKU5)</f>
        <v>#NAME?</v>
      </c>
      <c r="Q26" t="s">
        <v>257</v>
      </c>
    </row>
    <row r="27" spans="2:17" x14ac:dyDescent="0.25">
      <c r="M27" t="s">
        <v>467</v>
      </c>
      <c r="N27" s="7" t="e" cm="1">
        <f t="array" ref="N27">(Available_Workload_Disk_Storage_SKU6)-(_xlfn.SINGLE(Consumed_Workload_External_Storage)/1024)</f>
        <v>#NAME?</v>
      </c>
      <c r="O27" t="e">
        <f t="shared" si="3"/>
        <v>#NAME?</v>
      </c>
      <c r="P27" t="e" cm="1">
        <f t="array" ref="P27">((Available_Workload_Disk_Storage_SKU6)-(_xlfn.SINGLE(Consumed_Workload_External_Storage)/1024))/(Available_Workload_Disk_Storage_SKU6)</f>
        <v>#NAME?</v>
      </c>
      <c r="Q27" t="s">
        <v>257</v>
      </c>
    </row>
    <row r="36" spans="2:22" x14ac:dyDescent="0.25">
      <c r="U36" t="s">
        <v>470</v>
      </c>
    </row>
    <row r="37" spans="2:22" x14ac:dyDescent="0.25">
      <c r="U37" t="s">
        <v>471</v>
      </c>
      <c r="V37" t="e">
        <f>Number_Dev_Test1_Cores+Number_Dev_Test2_Cores+Number_Dev_Test3_Cores+Number_Dev_Test4_Cores</f>
        <v>#NAME?</v>
      </c>
    </row>
    <row r="38" spans="2:22" x14ac:dyDescent="0.25">
      <c r="U38" t="s">
        <v>472</v>
      </c>
      <c r="V38" t="e">
        <f>Number_Web_Serv1_Cores+Number_Web_Serv2_Cores+Number_Web_Serv3_Cores+Number_Web_Serv_Cores+Number_Web_Serv5_Cores+Number_Web_Serv6_Cores</f>
        <v>#NAME?</v>
      </c>
    </row>
    <row r="39" spans="2:22" x14ac:dyDescent="0.25">
      <c r="U39" t="s">
        <v>473</v>
      </c>
      <c r="V39" t="e">
        <f>Number_Rel_DB1_Cores+Number_Rel_DB2_Cores+Number_Rel_DB3_Cores+Number_Rel_DB4_Cores+Number_Rel_DB5_Cores+Number_Rel_DB6_Cores</f>
        <v>#NAME?</v>
      </c>
    </row>
    <row r="40" spans="2:22" x14ac:dyDescent="0.25">
      <c r="U40" t="s">
        <v>474</v>
      </c>
      <c r="V40" t="e">
        <f>Number_BI_Data1_Cores+Number_BI_Data2_Cores</f>
        <v>#NAME?</v>
      </c>
    </row>
    <row r="41" spans="2:22" x14ac:dyDescent="0.25">
      <c r="U41" t="s">
        <v>475</v>
      </c>
      <c r="V41" t="e">
        <f>Number_File_Serv1_Cores+Number_File_Serv2_Cores+Number_File_Serv3_Cores</f>
        <v>#NAME?</v>
      </c>
    </row>
    <row r="43" spans="2:22" x14ac:dyDescent="0.25">
      <c r="U43" t="s">
        <v>476</v>
      </c>
      <c r="V43" t="e">
        <f>Number_Data_Stor1_Cores+Number_Data_Stor2_Cores+Number_Data_Stor3_Cores</f>
        <v>#NAME?</v>
      </c>
    </row>
    <row r="44" spans="2:22" x14ac:dyDescent="0.25">
      <c r="B44" t="s">
        <v>339</v>
      </c>
      <c r="C44" t="s">
        <v>477</v>
      </c>
      <c r="D44" t="s">
        <v>146</v>
      </c>
      <c r="E44" t="s">
        <v>256</v>
      </c>
      <c r="F44" t="s">
        <v>478</v>
      </c>
      <c r="G44" t="s">
        <v>479</v>
      </c>
      <c r="U44" t="s">
        <v>480</v>
      </c>
      <c r="V44" t="e">
        <f>Number_Available_Cores</f>
        <v>#NAME?</v>
      </c>
    </row>
    <row r="45" spans="2:22" x14ac:dyDescent="0.25">
      <c r="B45" t="s">
        <v>481</v>
      </c>
      <c r="C45" t="s">
        <v>482</v>
      </c>
      <c r="D45" t="e">
        <f>Dev_Test1_Memory*Number_Loads_Dev_Test1</f>
        <v>#NAME?</v>
      </c>
      <c r="E45" t="e">
        <f>Dev_Test1_Temp*Number_Loads_Dev_Test1</f>
        <v>#NAME?</v>
      </c>
      <c r="F45" t="e">
        <f>Dev_Test1_Disk*Number_Loads_Dev_Test1</f>
        <v>#NAME?</v>
      </c>
      <c r="G45" t="e">
        <f>Dev_Test1_cores*Number_Loads_Dev_Test1</f>
        <v>#NAME?</v>
      </c>
    </row>
    <row r="46" spans="2:22" x14ac:dyDescent="0.25">
      <c r="B46" t="s">
        <v>481</v>
      </c>
      <c r="C46" t="s">
        <v>483</v>
      </c>
      <c r="D46" t="e">
        <f>Dev_Test2_Memory*Number_Loads_Dev_Test2</f>
        <v>#NAME?</v>
      </c>
      <c r="E46" t="e">
        <f>Dev_Test2_Temp*Number_Loads_Dev_Test2</f>
        <v>#NAME?</v>
      </c>
      <c r="F46" t="e">
        <f>Dev_Test2_Disk*Number_Loads_Dev_Test2</f>
        <v>#NAME?</v>
      </c>
      <c r="G46" t="e">
        <f>Dev_Test2_Cores*Number_Loads_Dev_Test2</f>
        <v>#NAME?</v>
      </c>
    </row>
    <row r="47" spans="2:22" x14ac:dyDescent="0.25">
      <c r="B47" t="s">
        <v>481</v>
      </c>
      <c r="C47" t="s">
        <v>484</v>
      </c>
      <c r="D47" t="e">
        <f>Dev_Test3_Memory*Number_Loads_Dev_Test3</f>
        <v>#NAME?</v>
      </c>
      <c r="E47" t="e">
        <f>Dev_Test3_Temp*Number_Loads_Dev_Test3</f>
        <v>#NAME?</v>
      </c>
      <c r="F47" t="e">
        <f>Dev_Test3_Disk*Number_Loads_Dev_Test3</f>
        <v>#NAME?</v>
      </c>
      <c r="G47" t="e">
        <f>Dev_Test3_Cores*Number_Loads_Dev_Test3</f>
        <v>#NAME?</v>
      </c>
      <c r="U47" t="s">
        <v>485</v>
      </c>
    </row>
    <row r="48" spans="2:22" x14ac:dyDescent="0.25">
      <c r="B48" t="s">
        <v>481</v>
      </c>
      <c r="C48" t="s">
        <v>486</v>
      </c>
      <c r="D48" t="e">
        <f>Dev_Test4_Memory*Number_Loads_Dev_Test4</f>
        <v>#NAME?</v>
      </c>
      <c r="E48" t="e">
        <f>Dev_Test4_Temp*Number_Loads_Dev_Test4</f>
        <v>#NAME?</v>
      </c>
      <c r="F48" t="e">
        <f>Dev_Test4_Disk*Number_Loads_Dev_Test4</f>
        <v>#NAME?</v>
      </c>
      <c r="G48" t="e">
        <f>Dev_Test4_Cores*Number_Loads_Dev_Test4</f>
        <v>#NAME?</v>
      </c>
      <c r="U48" t="s">
        <v>487</v>
      </c>
      <c r="V48" t="e">
        <f>Amount_Dev_Test1_Memory+Amount_Dev_Test2_Memory+Amount_Dev_Test3_Memory+Amount_Dev_Test4_Memory</f>
        <v>#NAME?</v>
      </c>
    </row>
    <row r="49" spans="2:22" x14ac:dyDescent="0.25">
      <c r="B49" t="s">
        <v>488</v>
      </c>
      <c r="C49" t="s">
        <v>489</v>
      </c>
      <c r="D49" t="e">
        <f>Web_Serv1_Memory*Number_Loads_Web_Serv1</f>
        <v>#NAME?</v>
      </c>
      <c r="E49" t="e">
        <f>Web_Serv1_Temp*Number_Loads_Web_Serv1</f>
        <v>#NAME?</v>
      </c>
      <c r="F49" t="e">
        <f>Web_Serv1_Disk*Number_Loads_Web_Serv1</f>
        <v>#NAME?</v>
      </c>
      <c r="G49" t="e">
        <f>Web_Serv1_Cores*Number_Loads_Web_Serv1</f>
        <v>#NAME?</v>
      </c>
      <c r="U49" t="s">
        <v>490</v>
      </c>
      <c r="V49" t="e">
        <f>Amount_Web_Serv1_Memory+Amount_Web_Serv2_Memory+Amount_Web_Serv3_Memory+Amount_Web_Serv4_Memory+Amount_Web_Serv5_Memory+Amount_Web_Serv6_Memory</f>
        <v>#NAME?</v>
      </c>
    </row>
    <row r="50" spans="2:22" x14ac:dyDescent="0.25">
      <c r="B50" t="s">
        <v>488</v>
      </c>
      <c r="C50" t="s">
        <v>491</v>
      </c>
      <c r="D50" t="e">
        <f>Web_Serv2_Memory*Number_Loads_Web_Serv2</f>
        <v>#NAME?</v>
      </c>
      <c r="E50" t="e">
        <f>Web_Serv2_Temp*Number_Loads_Web_Serv2</f>
        <v>#NAME?</v>
      </c>
      <c r="F50" t="e">
        <f>Web_Serv2_Disk*Number_Loads_Web_Serv2</f>
        <v>#NAME?</v>
      </c>
      <c r="G50" t="e">
        <f>Web_Serv2_Cores*Number_Loads_Web_Serv2</f>
        <v>#NAME?</v>
      </c>
      <c r="U50" t="s">
        <v>492</v>
      </c>
      <c r="V50" t="e">
        <f>Amount_Rel_DB1_Memory+Amount_Rel_DB2_Memory+Amount_Rel_DB3_Memory+Amount_Rel_DB4_Memory+Amount_Rel_DB5_Memory+Amount_Rel_DB6_Memory</f>
        <v>#NAME?</v>
      </c>
    </row>
    <row r="51" spans="2:22" x14ac:dyDescent="0.25">
      <c r="B51" t="s">
        <v>488</v>
      </c>
      <c r="C51" t="s">
        <v>493</v>
      </c>
      <c r="D51" t="e">
        <f>Web_Serv3_Memory*Number_Loads_Web_Serv3</f>
        <v>#NAME?</v>
      </c>
      <c r="E51" t="e">
        <f>Web_Serv3_Temp*Number_Loads_Web_Serv3</f>
        <v>#NAME?</v>
      </c>
      <c r="F51" t="e">
        <f>Web_Serv3_Disk*Number_Loads_Web_Serv3</f>
        <v>#NAME?</v>
      </c>
      <c r="G51" t="e">
        <f>Web_Serv3_Cores*Number_Loads_Web_Serv3</f>
        <v>#NAME?</v>
      </c>
      <c r="U51" t="s">
        <v>494</v>
      </c>
      <c r="V51" t="e">
        <f>Amount_BI_Data1_Memory+Amount_BI_Data2_Memory</f>
        <v>#NAME?</v>
      </c>
    </row>
    <row r="52" spans="2:22" x14ac:dyDescent="0.25">
      <c r="B52" t="s">
        <v>488</v>
      </c>
      <c r="C52" t="s">
        <v>495</v>
      </c>
      <c r="D52" t="e">
        <f>Web_Serv4_Memory*Number_Loads_Web_Serv4</f>
        <v>#NAME?</v>
      </c>
      <c r="E52" t="e">
        <f>Web_SErv4_Temp*Number_Loads_Web_Serv4</f>
        <v>#NAME?</v>
      </c>
      <c r="F52" t="e">
        <f>Web_Serv4_Disk*Number_Loads_Web_Serv4</f>
        <v>#NAME?</v>
      </c>
      <c r="G52" t="e">
        <f>Web_Serv4_Cores*Number_Loads_Web_Serv4</f>
        <v>#NAME?</v>
      </c>
      <c r="U52" t="s">
        <v>496</v>
      </c>
      <c r="V52" t="e">
        <f>Amount_File_Serv1_Memory+Amount_File_Serv2_Memory+Amount_File_Serv3_Memory</f>
        <v>#NAME?</v>
      </c>
    </row>
    <row r="53" spans="2:22" x14ac:dyDescent="0.25">
      <c r="B53" t="s">
        <v>488</v>
      </c>
      <c r="C53" t="s">
        <v>497</v>
      </c>
      <c r="D53" t="e">
        <f>Web_Serv5_Memory*Number_Loads_Web_Serv5</f>
        <v>#NAME?</v>
      </c>
      <c r="E53" t="e">
        <f>Web_Serv5_Temp*Number_Loads_Web_Serv5</f>
        <v>#NAME?</v>
      </c>
      <c r="F53" t="e">
        <f>Web_Serv5_Disk*Number_Loads_Web_Serv5</f>
        <v>#NAME?</v>
      </c>
      <c r="G53" t="e">
        <f>Web_Serv5_Cores*Number_Loads_Web_Serv5</f>
        <v>#NAME?</v>
      </c>
      <c r="U53" t="s">
        <v>498</v>
      </c>
      <c r="V53" t="e">
        <f>Amount_Data_Stor1_Memory+Amount_Data_Stor2_Memory+Amount_Data_Stor3_Memory</f>
        <v>#NAME?</v>
      </c>
    </row>
    <row r="54" spans="2:22" x14ac:dyDescent="0.25">
      <c r="B54" t="s">
        <v>488</v>
      </c>
      <c r="C54" t="s">
        <v>499</v>
      </c>
      <c r="D54" t="e">
        <f>Web_Serv6_Memory*Number_Loads_Web_Serv6</f>
        <v>#NAME?</v>
      </c>
      <c r="E54" t="e">
        <f>Web_Serv6_Temp*Number_Loads_Web_Serv6</f>
        <v>#NAME?</v>
      </c>
      <c r="F54" t="e">
        <f>Web_Serv6_Disk*Number_Loads_Web_Serv6</f>
        <v>#NAME?</v>
      </c>
      <c r="G54" t="e">
        <f>Web_Serv6_Cores*Number_Loads_Web_Serv6</f>
        <v>#NAME?</v>
      </c>
      <c r="U54" t="s">
        <v>500</v>
      </c>
      <c r="V54" t="e">
        <f>Amount_Available_Memory</f>
        <v>#NAME?</v>
      </c>
    </row>
    <row r="55" spans="2:22" x14ac:dyDescent="0.25">
      <c r="B55" t="s">
        <v>501</v>
      </c>
      <c r="C55" t="s">
        <v>489</v>
      </c>
      <c r="D55" t="e">
        <f>File_Serv1_Memory*Number_Loads_File_Serv1</f>
        <v>#NAME?</v>
      </c>
      <c r="E55" t="e">
        <f>File_Serv1_Temp*Number_Loads_File_Serv1</f>
        <v>#NAME?</v>
      </c>
      <c r="F55" t="e">
        <f>File_Serv1_Disk*Number_Loads_File_Serv1</f>
        <v>#NAME?</v>
      </c>
      <c r="G55" t="e">
        <f>File_Serv1_Cores*Number_Loads_File_Serv1</f>
        <v>#NAME?</v>
      </c>
    </row>
    <row r="56" spans="2:22" x14ac:dyDescent="0.25">
      <c r="B56" t="s">
        <v>501</v>
      </c>
      <c r="C56" t="s">
        <v>493</v>
      </c>
      <c r="D56" t="e">
        <f>File_Serv2_Memory*Number_Loads_File_Serv2</f>
        <v>#NAME?</v>
      </c>
      <c r="E56" t="e">
        <f>File_Serv2_Temp*Number_Loads_File_Serv2</f>
        <v>#NAME?</v>
      </c>
      <c r="F56" t="e">
        <f>File_Serv2_Disk*Number_Loads_File_Serv2</f>
        <v>#NAME?</v>
      </c>
      <c r="G56" t="e">
        <f>File_Serv2_Cores*Number_Loads_File_Serv2</f>
        <v>#NAME?</v>
      </c>
    </row>
    <row r="57" spans="2:22" x14ac:dyDescent="0.25">
      <c r="B57" t="s">
        <v>501</v>
      </c>
      <c r="C57" t="s">
        <v>497</v>
      </c>
      <c r="D57" t="e">
        <f>File_Serv3_Memory*Number_Loads_File_Serv3</f>
        <v>#NAME?</v>
      </c>
      <c r="E57" t="e">
        <f>File_Serv3_Temp*Number_Loads_File_Serv3</f>
        <v>#NAME?</v>
      </c>
      <c r="F57" t="e">
        <f>File_Serv3_Disk*Number_Loads_File_Serv3</f>
        <v>#NAME?</v>
      </c>
      <c r="G57" t="e">
        <f>File_Serv3_Cores*Number_Loads_File_Serv3</f>
        <v>#NAME?</v>
      </c>
    </row>
    <row r="58" spans="2:22" x14ac:dyDescent="0.25">
      <c r="B58" t="s">
        <v>502</v>
      </c>
      <c r="C58" t="s">
        <v>489</v>
      </c>
      <c r="D58" t="e">
        <f>Rel_DB1_Memory*Number_Loads_Rel_DB1</f>
        <v>#NAME?</v>
      </c>
      <c r="E58" t="e">
        <f>Rel_DB1_Temp*Number_Loads_Rel_DB1</f>
        <v>#NAME?</v>
      </c>
      <c r="F58" t="e">
        <f>Rel_DB1_Disk*Number_Loads_Rel_DB1</f>
        <v>#NAME?</v>
      </c>
      <c r="G58" t="e">
        <f>Rel_DB1_Cores*Number_Loads_Rel_DB1</f>
        <v>#NAME?</v>
      </c>
      <c r="U58" t="s">
        <v>503</v>
      </c>
    </row>
    <row r="59" spans="2:22" x14ac:dyDescent="0.25">
      <c r="B59" t="s">
        <v>502</v>
      </c>
      <c r="C59" t="s">
        <v>504</v>
      </c>
      <c r="D59" t="e">
        <f>Rel_DB2_Memory*Number_Loads_Rel_DB2</f>
        <v>#NAME?</v>
      </c>
      <c r="E59" t="e">
        <f>Rel_DB2_Temp*Number_Loads_Rel_DB2</f>
        <v>#NAME?</v>
      </c>
      <c r="F59" t="e">
        <f>Rel_DB2_Disk*Number_Loads_Rel_DB2</f>
        <v>#NAME?</v>
      </c>
      <c r="G59" t="e">
        <f>Rel_DB2_Cores*Number_Loads_Rel_DB2</f>
        <v>#NAME?</v>
      </c>
      <c r="U59" t="s">
        <v>505</v>
      </c>
      <c r="V59" t="e">
        <f>Amount_Dev_Test1_Temp+Amount_Dev_Test2_Temp+Amount_Dev_Test3_Temp+Amount_Dev_Test4_Temp</f>
        <v>#NAME?</v>
      </c>
    </row>
    <row r="60" spans="2:22" x14ac:dyDescent="0.25">
      <c r="B60" t="s">
        <v>502</v>
      </c>
      <c r="C60" t="s">
        <v>493</v>
      </c>
      <c r="D60" t="e">
        <f>Rel_DB3_Memory*Number_Loads_Rel_DB3</f>
        <v>#NAME?</v>
      </c>
      <c r="E60" t="e">
        <f>DB3_Temp*Number_Loads_Rel_DB3</f>
        <v>#NAME?</v>
      </c>
      <c r="F60" t="e">
        <f>Rel_DB3_Disk*Number_Loads_Rel_DB3</f>
        <v>#NAME?</v>
      </c>
      <c r="G60" t="e">
        <f>Rel_DB3_Cores*Number_Loads_Rel_DB3</f>
        <v>#NAME?</v>
      </c>
      <c r="U60" t="s">
        <v>506</v>
      </c>
      <c r="V60" t="e">
        <f>Amount_Web_Serv1_Temp+Amount_Web_Serv2_Temp+Amount_Web_Serv3_Temp+Amount_Web_Serv4_Temp+Amount_Web_Serv5_Temp+Amount_Web_Serv6_Temp</f>
        <v>#NAME?</v>
      </c>
    </row>
    <row r="61" spans="2:22" x14ac:dyDescent="0.25">
      <c r="B61" t="s">
        <v>502</v>
      </c>
      <c r="C61" t="s">
        <v>504</v>
      </c>
      <c r="D61" t="e">
        <f>Rel_DB4_Memory*Number_Loads_Rel_DB4</f>
        <v>#NAME?</v>
      </c>
      <c r="E61" t="e">
        <f>DB4_Temp*Number_Loads_Rel_DB4</f>
        <v>#NAME?</v>
      </c>
      <c r="F61" t="e">
        <f>Rel_DB4_Disk*Number_Loads_Rel_DB4</f>
        <v>#NAME?</v>
      </c>
      <c r="G61" t="e">
        <f>Rel_DB4_Cores*Number_Loads_Rel_DB4</f>
        <v>#NAME?</v>
      </c>
      <c r="U61" t="s">
        <v>507</v>
      </c>
      <c r="V61" t="e">
        <f>Amount_Rel_DB1_Temp+Amount_Rel_DB2_Temp+Amount_Rel_DB3_Temp+Amount_Rel_DB4_Temp+Amount_Rel_DB5_Temp+Amount_Rel_DB6_Temp</f>
        <v>#NAME?</v>
      </c>
    </row>
    <row r="62" spans="2:22" x14ac:dyDescent="0.25">
      <c r="B62" t="s">
        <v>502</v>
      </c>
      <c r="C62" t="s">
        <v>497</v>
      </c>
      <c r="D62" t="e">
        <f>Rel_DB5_Memory*Number_Loads_Rel_DB5</f>
        <v>#NAME?</v>
      </c>
      <c r="E62" t="e">
        <f>DB5_Temp*Number_Loads_Rel_DB5</f>
        <v>#NAME?</v>
      </c>
      <c r="F62" t="e">
        <f>Rel_DB5_Disk*Number_Loads_Rel_DB5</f>
        <v>#NAME?</v>
      </c>
      <c r="G62" t="e">
        <f>Rel_DB5_Cores*Number_Loads_Rel_DB5</f>
        <v>#NAME?</v>
      </c>
      <c r="U62" t="s">
        <v>508</v>
      </c>
      <c r="V62" t="e">
        <f>Amount_BI_Data1_Temp+Amount_BI_Data2_Temp</f>
        <v>#NAME?</v>
      </c>
    </row>
    <row r="63" spans="2:22" x14ac:dyDescent="0.25">
      <c r="B63" t="s">
        <v>502</v>
      </c>
      <c r="C63" t="s">
        <v>509</v>
      </c>
      <c r="D63" t="e">
        <f>Rel_DB6_Memory*Number_Loads_Rel_DB6</f>
        <v>#NAME?</v>
      </c>
      <c r="E63" t="e">
        <f>DB6_Temp*Number_Loads_Rel_DB6</f>
        <v>#NAME?</v>
      </c>
      <c r="F63" t="e">
        <f>Rel_DB6_Disk*Number_Loads_Rel_DB6</f>
        <v>#NAME?</v>
      </c>
      <c r="G63" t="e">
        <f>Rel_DB6_Cores*Number_Loads_Rel_DB6</f>
        <v>#NAME?</v>
      </c>
      <c r="U63" t="s">
        <v>510</v>
      </c>
      <c r="V63" t="e">
        <f>Amount_File_Serv1_Temp+Amount_File_Serv2_Temp+Amount_File_Serv3_Temp</f>
        <v>#NAME?</v>
      </c>
    </row>
    <row r="64" spans="2:22" x14ac:dyDescent="0.25">
      <c r="B64" t="s">
        <v>511</v>
      </c>
      <c r="C64" t="s">
        <v>482</v>
      </c>
      <c r="D64" t="e">
        <f>BI_Data1_Memory*Number_Loads_BI_Data1</f>
        <v>#NAME?</v>
      </c>
      <c r="E64" t="e">
        <f>BI_Data1_Temp*Number_Loads_BI_Data1</f>
        <v>#NAME?</v>
      </c>
      <c r="F64" t="e">
        <f>BI_Data1_Disk*Number_Loads_BI_Data1</f>
        <v>#NAME?</v>
      </c>
      <c r="G64" t="e">
        <f>BI_Data1_Cores*Number_Loads_BI_Data1</f>
        <v>#NAME?</v>
      </c>
      <c r="U64" t="s">
        <v>512</v>
      </c>
      <c r="V64" t="e">
        <f>Amount_Data_Stor1_Temp+Amount_Data_Stor2_Temp+Amount_Data_Stor3_Temp</f>
        <v>#NAME?</v>
      </c>
    </row>
    <row r="65" spans="2:22" x14ac:dyDescent="0.25">
      <c r="B65" t="s">
        <v>511</v>
      </c>
      <c r="C65" t="s">
        <v>484</v>
      </c>
      <c r="D65" t="e">
        <f>BI_Data2_Memory*Number_Loads_BI_Data2</f>
        <v>#NAME?</v>
      </c>
      <c r="E65" t="e">
        <f>BI_Data2_Temp*Number_Loads_BI_Data2</f>
        <v>#NAME?</v>
      </c>
      <c r="F65" t="e">
        <f>BI_Data2_Disk*Number_Loads_BI_Data2</f>
        <v>#NAME?</v>
      </c>
      <c r="G65" t="e">
        <f>BI_Data2_Cores*Number_Loads_BI_Data2</f>
        <v>#NAME?</v>
      </c>
      <c r="U65" t="s">
        <v>513</v>
      </c>
      <c r="V65" s="7" t="e">
        <f>Amount_Available_Temp_Disk</f>
        <v>#NAME?</v>
      </c>
    </row>
    <row r="66" spans="2:22" x14ac:dyDescent="0.25">
      <c r="B66" t="s">
        <v>514</v>
      </c>
      <c r="C66" s="36" t="s">
        <v>515</v>
      </c>
      <c r="D66" t="e">
        <f>Data_Stor1_Memory*Number_Loads_Data_Stor1</f>
        <v>#NAME?</v>
      </c>
      <c r="E66" t="e">
        <f>Data_Stor1_Temp*Number_Loads_Data_Stor1</f>
        <v>#NAME?</v>
      </c>
      <c r="F66" t="e">
        <f>Data_Stor1_Disk*Number_Loads_Data_Stor1</f>
        <v>#NAME?</v>
      </c>
      <c r="G66" t="e">
        <f>Data_Stor1_Cores*Number_Loads_Data_Stor1</f>
        <v>#NAME?</v>
      </c>
    </row>
    <row r="67" spans="2:22" x14ac:dyDescent="0.25">
      <c r="B67" t="s">
        <v>514</v>
      </c>
      <c r="C67" s="36" t="s">
        <v>516</v>
      </c>
      <c r="D67" t="e">
        <f>Data_Stor2_Memory*Number_of_Data_Stor2</f>
        <v>#NAME?</v>
      </c>
      <c r="E67" t="e">
        <f>File_Serv2_Temp*Number_of_Data_Stor2</f>
        <v>#NAME?</v>
      </c>
      <c r="F67" t="e">
        <f>Data_Stor2_Disk*Number_of_Data_Stor2</f>
        <v>#NAME?</v>
      </c>
      <c r="G67" t="e">
        <f>Data_Stor2_Cores*Number_of_Data_Stor2</f>
        <v>#NAME?</v>
      </c>
    </row>
    <row r="68" spans="2:22" x14ac:dyDescent="0.25">
      <c r="B68" t="s">
        <v>514</v>
      </c>
      <c r="C68" s="36" t="s">
        <v>517</v>
      </c>
      <c r="D68" t="e">
        <f>Data_Stor3_Memory*Number_of_Data_Stor3</f>
        <v>#NAME?</v>
      </c>
      <c r="E68" t="e">
        <f>File_Serv3_Temp*Number_of_Data_Stor3</f>
        <v>#NAME?</v>
      </c>
      <c r="F68" t="e">
        <f>Data_Stor3_Disk*Number_of_Data_Stor3</f>
        <v>#NAME?</v>
      </c>
      <c r="G68" t="e">
        <f>Data_Stor3_Cores*Number_of_Data_Stor3</f>
        <v>#NAME?</v>
      </c>
    </row>
    <row r="69" spans="2:22" x14ac:dyDescent="0.25">
      <c r="B69" t="s">
        <v>406</v>
      </c>
      <c r="C69" s="36" t="s">
        <v>518</v>
      </c>
      <c r="D69" t="e">
        <f>SKU_Workload_Memory_Available</f>
        <v>#NAME?</v>
      </c>
      <c r="E69" t="e">
        <f>SKU_Workload_Temp_Available*1024</f>
        <v>#NAME?</v>
      </c>
      <c r="F69" t="e">
        <f>SKU_Workload_Storage_Available*1024</f>
        <v>#NAME?</v>
      </c>
      <c r="G69" t="e">
        <f>SKU_Workload_Cores_Available</f>
        <v>#NAME?</v>
      </c>
    </row>
    <row r="70" spans="2:22" x14ac:dyDescent="0.25">
      <c r="U70" t="s">
        <v>519</v>
      </c>
    </row>
    <row r="71" spans="2:22" x14ac:dyDescent="0.25">
      <c r="U71" t="s">
        <v>520</v>
      </c>
      <c r="V71" t="e">
        <f>Amount_Dev_Test1_Disk+Amount_Dev_Test2_Disk+Amount_Dev_Test3_Disk+Amount_Dev_Test4_Disk</f>
        <v>#NAME?</v>
      </c>
    </row>
    <row r="72" spans="2:22" x14ac:dyDescent="0.25">
      <c r="U72" t="s">
        <v>521</v>
      </c>
      <c r="V72" t="e">
        <f>Amount_Web_Serv1_Disk+Amount_Web_Serv2_Disk+Amount_Web_Serv3_Disk+Amount_Web_Serv4_Disk+Amount_Web_Serv5_Disk+Amount_Web_Serv6_Disk</f>
        <v>#NAME?</v>
      </c>
    </row>
    <row r="73" spans="2:22" x14ac:dyDescent="0.25">
      <c r="U73" t="s">
        <v>522</v>
      </c>
      <c r="V73" t="e">
        <f>Amount_Rel_DB1_Disk+Amount_Rel_DB2_Disk+Amount_Rel_DB3_Disk+Amount_Rel_DB4_Disk+Amount_Rel_DB5_Disk+Amount_Rel_DB6_Disk</f>
        <v>#NAME?</v>
      </c>
    </row>
    <row r="74" spans="2:22" x14ac:dyDescent="0.25">
      <c r="U74" t="s">
        <v>523</v>
      </c>
      <c r="V74" t="e">
        <f>Amount_BI_Data1_Disk+Amount_BI_Data2_Disk</f>
        <v>#NAME?</v>
      </c>
    </row>
    <row r="75" spans="2:22" x14ac:dyDescent="0.25">
      <c r="U75" t="s">
        <v>524</v>
      </c>
      <c r="V75" t="e">
        <f>Amount_File_Serv1_Disk+Amount_File_Serv2_Disk+Amount_File_Serv3_Disk</f>
        <v>#NAME?</v>
      </c>
    </row>
    <row r="76" spans="2:22" x14ac:dyDescent="0.25">
      <c r="U76" t="s">
        <v>525</v>
      </c>
      <c r="V76" t="e">
        <f>Amount_Data_Stor1_Disk+Amount_Data_Stor2_Disk+Amount_Data_Stor3_Disk</f>
        <v>#NAME?</v>
      </c>
    </row>
    <row r="77" spans="2:22" x14ac:dyDescent="0.25">
      <c r="U77" t="s">
        <v>526</v>
      </c>
      <c r="V77" t="e">
        <f>Amount_Available_Disk</f>
        <v>#NAME?</v>
      </c>
    </row>
    <row r="83" spans="2:24" s="34" customFormat="1" x14ac:dyDescent="0.25">
      <c r="B83" s="35" t="s">
        <v>527</v>
      </c>
      <c r="J83" s="35" t="s">
        <v>527</v>
      </c>
      <c r="R83" s="35" t="s">
        <v>527</v>
      </c>
      <c r="X83" s="35" t="s">
        <v>527</v>
      </c>
    </row>
    <row r="85" spans="2:24" x14ac:dyDescent="0.25">
      <c r="C85" s="37" t="s">
        <v>528</v>
      </c>
      <c r="D85" s="38"/>
      <c r="E85" s="39"/>
      <c r="M85" s="37" t="s">
        <v>529</v>
      </c>
      <c r="N85" s="38"/>
      <c r="O85" s="39"/>
      <c r="P85" s="39"/>
    </row>
    <row r="86" spans="2:24" x14ac:dyDescent="0.25">
      <c r="C86" s="17" t="s">
        <v>406</v>
      </c>
      <c r="D86" s="17" t="s">
        <v>249</v>
      </c>
      <c r="E86" s="17" t="s">
        <v>407</v>
      </c>
      <c r="N86" s="43" t="s">
        <v>406</v>
      </c>
      <c r="O86" s="43" t="s">
        <v>249</v>
      </c>
      <c r="P86" s="43" t="s">
        <v>407</v>
      </c>
    </row>
    <row r="87" spans="2:24" x14ac:dyDescent="0.25">
      <c r="B87" t="s">
        <v>132</v>
      </c>
      <c r="C87">
        <f>(Number_Tenant_CPU_Cores_SKU1)-Total_Consumed_Tenant_VM_Cores</f>
        <v>53.099999999999994</v>
      </c>
      <c r="D87">
        <f t="shared" ref="D87:D92" si="4">Total_Consumed_Tenant_VM_Cores</f>
        <v>0</v>
      </c>
      <c r="E87" s="4">
        <f>((Number_Tenant_CPU_Cores_SKU1)-Total_Consumed_Tenant_VM_Cores)/(Number_Tenant_CPU_Cores_SKU1)</f>
        <v>1</v>
      </c>
      <c r="M87" t="s">
        <v>132</v>
      </c>
      <c r="N87" s="143">
        <f>Amount_Tenant_Memory_SKU1</f>
        <v>348.79999999999995</v>
      </c>
      <c r="O87" s="143">
        <f t="shared" ref="O87:O92" si="5">Total_Consumed_Tenant_VM_Memory</f>
        <v>0</v>
      </c>
      <c r="P87" s="195">
        <f>(N87-O87)/N87</f>
        <v>1</v>
      </c>
    </row>
    <row r="88" spans="2:24" x14ac:dyDescent="0.25">
      <c r="B88" t="s">
        <v>133</v>
      </c>
      <c r="C88">
        <f>(Number_Tenant_CPU_Cores_SKU2)-Total_Consumed_Tenant_VM_Cores</f>
        <v>53.099999999999994</v>
      </c>
      <c r="D88">
        <f t="shared" si="4"/>
        <v>0</v>
      </c>
      <c r="E88" s="4">
        <f>((Number_Tenant_CPU_Cores_SKU2)-Total_Consumed_Tenant_VM_Cores)/(Number_Tenant_CPU_Cores_SKU2)</f>
        <v>1</v>
      </c>
      <c r="M88" t="s">
        <v>133</v>
      </c>
      <c r="N88">
        <f>Amount_Tenant_Memory_SKU2</f>
        <v>1001.5999999999999</v>
      </c>
      <c r="O88">
        <f t="shared" si="5"/>
        <v>0</v>
      </c>
      <c r="P88" s="1">
        <f t="shared" ref="P88:P92" si="6">(N88-O88)/N88</f>
        <v>1</v>
      </c>
    </row>
    <row r="89" spans="2:24" x14ac:dyDescent="0.25">
      <c r="B89" t="s">
        <v>134</v>
      </c>
      <c r="C89">
        <f>(Number_Tenant_CPU_Cores_SKU3)-Total_Consumed_Tenant_VM_Cores</f>
        <v>142.69999999999999</v>
      </c>
      <c r="D89">
        <f t="shared" si="4"/>
        <v>0</v>
      </c>
      <c r="E89" s="4">
        <f>((Number_Tenant_CPU_Cores_SKU3)-Total_Consumed_Tenant_VM_Cores)/(Number_Tenant_CPU_Cores_SKU3)</f>
        <v>1</v>
      </c>
      <c r="M89" t="s">
        <v>134</v>
      </c>
      <c r="N89">
        <f>Amount_Tenant_Memory_SKU3</f>
        <v>2670.4</v>
      </c>
      <c r="O89">
        <f t="shared" si="5"/>
        <v>0</v>
      </c>
      <c r="P89" s="1">
        <f t="shared" si="6"/>
        <v>1</v>
      </c>
    </row>
    <row r="90" spans="2:24" x14ac:dyDescent="0.25">
      <c r="B90" t="s">
        <v>135</v>
      </c>
      <c r="C90">
        <f>(Number_Tenant_CPU_Cores_SKU4)-Total_Consumed_Tenant_VM_Cores</f>
        <v>424.3</v>
      </c>
      <c r="D90">
        <f t="shared" si="4"/>
        <v>0</v>
      </c>
      <c r="E90" s="4">
        <f>((Number_Tenant_CPU_Cores_SKU4)-Total_Consumed_Tenant_VM_Cores)/(Number_Tenant_CPU_Cores_SKU4)</f>
        <v>1</v>
      </c>
      <c r="M90" t="s">
        <v>135</v>
      </c>
      <c r="N90">
        <f>Amount_Tenant_Memory_SKU4</f>
        <v>6008</v>
      </c>
      <c r="O90">
        <f t="shared" si="5"/>
        <v>0</v>
      </c>
      <c r="P90" s="1">
        <f t="shared" si="6"/>
        <v>1</v>
      </c>
    </row>
    <row r="91" spans="2:24" x14ac:dyDescent="0.25">
      <c r="B91" t="s">
        <v>136</v>
      </c>
      <c r="C91">
        <f>(Number_Tenant_CPU_Cores_SKU5)-Total_Consumed_Tenant_VM_Cores</f>
        <v>104.3</v>
      </c>
      <c r="D91">
        <f t="shared" si="4"/>
        <v>0</v>
      </c>
      <c r="E91" s="4">
        <f>((Number_Tenant_CPU_Cores_SKU5)-Total_Consumed_Tenant_VM_Cores)/(Number_Tenant_CPU_Cores_SKU5)</f>
        <v>1</v>
      </c>
      <c r="M91" t="s">
        <v>136</v>
      </c>
      <c r="N91">
        <f>Amount_Tenant_Memory_SKU5</f>
        <v>1654.4</v>
      </c>
      <c r="O91">
        <f t="shared" si="5"/>
        <v>0</v>
      </c>
      <c r="P91" s="1">
        <f t="shared" si="6"/>
        <v>1</v>
      </c>
    </row>
    <row r="92" spans="2:24" x14ac:dyDescent="0.25">
      <c r="B92" t="s">
        <v>137</v>
      </c>
      <c r="C92">
        <f>(Number_Tenant_CPU_Cores_SKU6)-Total_Consumed_Tenant_VM_Cores</f>
        <v>1294.7</v>
      </c>
      <c r="D92">
        <f t="shared" si="4"/>
        <v>0</v>
      </c>
      <c r="E92" s="4">
        <f>((Number_Tenant_CPU_Cores_SKU6)-Total_Consumed_Tenant_VM_Cores)/(Number_Tenant_CPU_Cores_SKU6)</f>
        <v>1</v>
      </c>
      <c r="M92" t="s">
        <v>137</v>
      </c>
      <c r="N92">
        <f>Amount_Tenant_Memory_SKU6</f>
        <v>19064</v>
      </c>
      <c r="O92">
        <f t="shared" si="5"/>
        <v>0</v>
      </c>
      <c r="P92" s="1">
        <f t="shared" si="6"/>
        <v>1</v>
      </c>
    </row>
    <row r="112" spans="3:26" x14ac:dyDescent="0.25">
      <c r="C112" s="37" t="s">
        <v>530</v>
      </c>
      <c r="D112" s="38"/>
      <c r="E112" s="39"/>
      <c r="M112" s="37" t="s">
        <v>531</v>
      </c>
      <c r="N112" s="38"/>
      <c r="O112" s="39"/>
      <c r="P112" s="39"/>
      <c r="W112" s="718" t="s">
        <v>532</v>
      </c>
      <c r="X112" s="719"/>
      <c r="Y112" s="719"/>
      <c r="Z112" s="720"/>
    </row>
    <row r="113" spans="2:26" x14ac:dyDescent="0.25">
      <c r="C113" s="17" t="s">
        <v>406</v>
      </c>
      <c r="D113" s="17" t="s">
        <v>249</v>
      </c>
      <c r="E113" s="17" t="s">
        <v>407</v>
      </c>
      <c r="N113" s="17" t="s">
        <v>406</v>
      </c>
      <c r="O113" s="17" t="s">
        <v>249</v>
      </c>
      <c r="P113" s="17" t="s">
        <v>407</v>
      </c>
      <c r="X113" s="17" t="s">
        <v>406</v>
      </c>
      <c r="Y113" s="17" t="s">
        <v>249</v>
      </c>
      <c r="Z113" s="17" t="s">
        <v>412</v>
      </c>
    </row>
    <row r="114" spans="2:26" x14ac:dyDescent="0.25">
      <c r="B114" t="s">
        <v>132</v>
      </c>
      <c r="C114" s="7">
        <f>(Available_Tenant_Temp_Disk_SKU1)-(Total_Consumed_Tenant_VM_TempDisk/1024)</f>
        <v>3.3954468866189327</v>
      </c>
      <c r="D114" s="48">
        <f t="shared" ref="D114:D119" si="7">Total_Consumed_Tenant_VM_TempDisk/1024</f>
        <v>0</v>
      </c>
      <c r="E114" s="4">
        <f>((Available_Tenant_Temp_Disk_SKU1)-(Total_Consumed_Tenant_VM_TempDisk/1024))/(Available_Tenant_Temp_Disk_SKU1)</f>
        <v>1</v>
      </c>
      <c r="F114" t="s">
        <v>257</v>
      </c>
      <c r="M114" t="s">
        <v>132</v>
      </c>
      <c r="N114" s="7">
        <f>(Available_Tenant_Disk_Storage_SKU1)-(Total_Consumed_Tenant_VM_Disk/1024)</f>
        <v>27.141053229570389</v>
      </c>
      <c r="O114" s="48">
        <f t="shared" ref="O114:O119" si="8">Total_Consumed_Tenant_VM_Disk/1024</f>
        <v>0</v>
      </c>
      <c r="P114" s="4">
        <f>((Available_Tenant_Disk_Storage_SKU1)-(Total_Consumed_Tenant_VM_Disk/1024))/(Available_Tenant_Disk_Storage_SKU1)</f>
        <v>1</v>
      </c>
      <c r="Q114" t="s">
        <v>257</v>
      </c>
      <c r="W114" t="s">
        <v>132</v>
      </c>
      <c r="X114">
        <f>Sku1_Tenant_Total_GPU</f>
        <v>0</v>
      </c>
      <c r="Y114">
        <f t="shared" ref="Y114:Y119" si="9">Total_Consumed_Tenant_CustomWorkload_GPU</f>
        <v>0</v>
      </c>
      <c r="Z114" s="1" t="e">
        <f>(Sku1_Tenant_Total_GPU-Total_Consumed_Tenant_CustomWorkload_GPU)/Sku1_Tenant_Total_GPU</f>
        <v>#DIV/0!</v>
      </c>
    </row>
    <row r="115" spans="2:26" x14ac:dyDescent="0.25">
      <c r="B115" t="s">
        <v>133</v>
      </c>
      <c r="C115" s="7">
        <f>(Available_Tenant_Temp_Disk_SKU2)-(Total_Consumed_Tenant_VM_TempDisk/1024)</f>
        <v>5.0931703299283981</v>
      </c>
      <c r="D115" s="48">
        <f t="shared" si="7"/>
        <v>0</v>
      </c>
      <c r="E115" s="4">
        <f>((Available_Tenant_Temp_Disk_SKU2)-(Total_Consumed_Tenant_VM_TempDisk/1024))/(Available_Tenant_Temp_Disk_SKU2)</f>
        <v>1</v>
      </c>
      <c r="F115" t="s">
        <v>257</v>
      </c>
      <c r="M115" t="s">
        <v>133</v>
      </c>
      <c r="N115" s="7">
        <f>(Available_Tenant_Disk_Storage_SKU2)-(Total_Consumed_Tenant_VM_Disk/1024)</f>
        <v>42.420564219355583</v>
      </c>
      <c r="O115" s="48">
        <f t="shared" si="8"/>
        <v>0</v>
      </c>
      <c r="P115" s="4">
        <f>((Available_Tenant_Disk_Storage_SKU2)-(Total_Consumed_Tenant_VM_Disk/1024))/(Available_Tenant_Disk_Storage_SKU2)</f>
        <v>1</v>
      </c>
      <c r="Q115" t="s">
        <v>257</v>
      </c>
      <c r="W115" t="s">
        <v>133</v>
      </c>
      <c r="X115">
        <f>Sku2_Tenant_Total_GPU</f>
        <v>0</v>
      </c>
      <c r="Y115">
        <f t="shared" si="9"/>
        <v>0</v>
      </c>
      <c r="Z115" s="1" t="e">
        <f>(Sku2_Tenant_Total_GPU-Total_Consumed_Tenant_CustomWorkload_GPU)/Sku2_Tenant_Total_GPU</f>
        <v>#DIV/0!</v>
      </c>
    </row>
    <row r="116" spans="2:26" x14ac:dyDescent="0.25">
      <c r="B116" t="s">
        <v>134</v>
      </c>
      <c r="C116" s="7">
        <f>(Available_Tenant_Temp_Disk_SKU3)-(Total_Consumed_Tenant_VM_TempDisk/1024)</f>
        <v>6.5192580223083496</v>
      </c>
      <c r="D116" s="48">
        <f t="shared" si="7"/>
        <v>0</v>
      </c>
      <c r="E116" s="4">
        <f>((Available_Tenant_Temp_Disk_SKU3)-(Total_Consumed_Tenant_VM_TempDisk/1024))/(Available_Tenant_Temp_Disk_SKU3)</f>
        <v>1</v>
      </c>
      <c r="F116" t="s">
        <v>257</v>
      </c>
      <c r="M116" t="s">
        <v>134</v>
      </c>
      <c r="N116" s="7">
        <f>(Available_Tenant_Disk_Storage_SKU3)-(Total_Consumed_Tenant_VM_Disk/1024)</f>
        <v>55.255353450775146</v>
      </c>
      <c r="O116" s="48">
        <f t="shared" si="8"/>
        <v>0</v>
      </c>
      <c r="P116" s="4">
        <f>((Available_Tenant_Disk_Storage_SKU3)-(Total_Consumed_Tenant_VM_Disk/1024))/(Available_Tenant_Disk_Storage_SKU3)</f>
        <v>1</v>
      </c>
      <c r="Q116" t="s">
        <v>257</v>
      </c>
      <c r="W116" t="s">
        <v>134</v>
      </c>
      <c r="X116">
        <f>Sku3_Tenant_Total_GPU</f>
        <v>0</v>
      </c>
      <c r="Y116">
        <f t="shared" si="9"/>
        <v>0</v>
      </c>
      <c r="Z116" s="1" t="e">
        <f>(Sku3_Tenant_Total_GPU-Total_Consumed_Tenant_CustomWorkload_GPU)/Sku3_Tenant_Total_GPU</f>
        <v>#DIV/0!</v>
      </c>
    </row>
    <row r="117" spans="2:26" x14ac:dyDescent="0.25">
      <c r="B117" t="s">
        <v>135</v>
      </c>
      <c r="C117" s="7">
        <f>(Available_Tenant_Temp_Disk_SKU4)-(Total_Consumed_Tenant_VM_TempDisk/1024)</f>
        <v>29.103830456733704</v>
      </c>
      <c r="D117" s="48">
        <f t="shared" si="7"/>
        <v>0</v>
      </c>
      <c r="E117" s="4">
        <f>((Available_Tenant_Temp_Disk_SKU4)-(Total_Consumed_Tenant_VM_TempDisk/1024))/(Available_Tenant_Temp_Disk_SKU4)</f>
        <v>1</v>
      </c>
      <c r="F117" t="s">
        <v>257</v>
      </c>
      <c r="M117" t="s">
        <v>135</v>
      </c>
      <c r="N117" s="7">
        <f>(Available_Tenant_Disk_Storage_SKU4)-(Total_Consumed_Tenant_VM_Disk/1024)</f>
        <v>258.51650536060333</v>
      </c>
      <c r="O117" s="48">
        <f t="shared" si="8"/>
        <v>0</v>
      </c>
      <c r="P117" s="4">
        <f>((Available_Tenant_Disk_Storage_SKU4)-(Total_Consumed_Tenant_VM_Disk/1024))/(Available_Tenant_Disk_Storage_SKU4)</f>
        <v>1</v>
      </c>
      <c r="Q117" t="s">
        <v>257</v>
      </c>
      <c r="W117" t="s">
        <v>135</v>
      </c>
      <c r="X117">
        <f>Sku4_Tenant_Total_GPU</f>
        <v>0</v>
      </c>
      <c r="Y117">
        <f t="shared" si="9"/>
        <v>0</v>
      </c>
      <c r="Z117" s="1" t="e">
        <f>(Sku4_Tenant_Total_GPU-Total_Consumed_Tenant_CustomWorkload_GPU)/Sku4_Tenant_Total_GPU</f>
        <v>#DIV/0!</v>
      </c>
    </row>
    <row r="118" spans="2:26" x14ac:dyDescent="0.25">
      <c r="B118" t="s">
        <v>136</v>
      </c>
      <c r="C118" s="7">
        <f>(Available_Tenant_Temp_Disk_SKU5)-(Total_Consumed_Tenant_VM_TempDisk/1024)</f>
        <v>8.7311491370201111</v>
      </c>
      <c r="D118" s="48">
        <f t="shared" si="7"/>
        <v>0</v>
      </c>
      <c r="E118" s="4">
        <f>((Available_Tenant_Temp_Disk_SKU5)-(Total_Consumed_Tenant_VM_TempDisk/1024))/(Available_Tenant_Temp_Disk_SKU5)</f>
        <v>1</v>
      </c>
      <c r="F118" t="s">
        <v>257</v>
      </c>
      <c r="M118" t="s">
        <v>136</v>
      </c>
      <c r="N118" s="7">
        <f>(Available_Tenant_Disk_Storage_SKU5)-(Total_Consumed_Tenant_VM_Disk/1024)</f>
        <v>75.162373483181</v>
      </c>
      <c r="O118" s="48">
        <f t="shared" si="8"/>
        <v>0</v>
      </c>
      <c r="P118" s="4">
        <f>((Available_Tenant_Disk_Storage_SKU5)-(Total_Consumed_Tenant_VM_Disk/1024))/(Available_Tenant_Disk_Storage_SKU5)</f>
        <v>1</v>
      </c>
      <c r="Q118" t="s">
        <v>257</v>
      </c>
      <c r="W118" t="s">
        <v>136</v>
      </c>
      <c r="X118">
        <f>Sku5_Tenant_Total_GPU</f>
        <v>0</v>
      </c>
      <c r="Y118">
        <f t="shared" si="9"/>
        <v>0</v>
      </c>
      <c r="Z118" s="1" t="e">
        <f>(Sku5_Tenant_Total_GPU-Total_Consumed_Tenant_CustomWorkload_GPU)/Sku5_Tenant_Total_GPU</f>
        <v>#DIV/0!</v>
      </c>
    </row>
    <row r="119" spans="2:26" x14ac:dyDescent="0.25">
      <c r="B119" t="s">
        <v>137</v>
      </c>
      <c r="C119" s="7">
        <f>(Available_Tenant_Temp_Disk_SKU6)-(Total_Consumed_Tenant_VM_TempDisk/1024)</f>
        <v>85.681676864624023</v>
      </c>
      <c r="D119" s="48">
        <f t="shared" si="7"/>
        <v>0</v>
      </c>
      <c r="E119" s="4">
        <f>((Available_Tenant_Temp_Disk_SKU6)-(Total_Consumed_Tenant_VM_TempDisk/1024))/(Available_Tenant_Temp_Disk_SKU6)</f>
        <v>1</v>
      </c>
      <c r="F119" t="s">
        <v>257</v>
      </c>
      <c r="M119" t="s">
        <v>137</v>
      </c>
      <c r="N119" s="7">
        <f>(Available_Tenant_Disk_Storage_SKU6)-(Total_Consumed_Tenant_VM_Disk/1024)</f>
        <v>767.7171230316161</v>
      </c>
      <c r="O119" s="48">
        <f t="shared" si="8"/>
        <v>0</v>
      </c>
      <c r="P119" s="4">
        <f>((Available_Tenant_Disk_Storage_SKU6)-(Total_Consumed_Tenant_VM_Disk/1024))/(Available_Tenant_Disk_Storage_SKU6)</f>
        <v>1</v>
      </c>
      <c r="Q119" t="s">
        <v>257</v>
      </c>
      <c r="W119" t="s">
        <v>137</v>
      </c>
      <c r="X119">
        <f>Sku6_Tenant_Total_GPU</f>
        <v>32</v>
      </c>
      <c r="Y119">
        <f t="shared" si="9"/>
        <v>0</v>
      </c>
      <c r="Z119" s="1">
        <f>(Sku6_Tenant_Total_GPU-Total_Consumed_Tenant_CustomWorkload_GPU)/Sku6_Tenant_Total_GPU</f>
        <v>1</v>
      </c>
    </row>
    <row r="136" spans="3:7" x14ac:dyDescent="0.25">
      <c r="D136" t="s">
        <v>319</v>
      </c>
      <c r="E136" t="s">
        <v>146</v>
      </c>
      <c r="F136" t="s">
        <v>479</v>
      </c>
      <c r="G136" t="s">
        <v>478</v>
      </c>
    </row>
    <row r="137" spans="3:7" x14ac:dyDescent="0.25">
      <c r="C137" s="14" t="s">
        <v>533</v>
      </c>
      <c r="D137">
        <f>Consumed_Tenant1_VM_Temp</f>
        <v>0</v>
      </c>
      <c r="E137">
        <f>Consumed_Tenant1_VM_Memory</f>
        <v>0</v>
      </c>
      <c r="F137">
        <f>Consumed_Tenant1_VM_Cores</f>
        <v>0</v>
      </c>
      <c r="G137">
        <f>Consumed_Tenant1_VM_Disk</f>
        <v>0</v>
      </c>
    </row>
    <row r="138" spans="3:7" x14ac:dyDescent="0.25">
      <c r="C138" s="14" t="s">
        <v>534</v>
      </c>
      <c r="D138">
        <f>Consumed_Tenant2_VM_Temp</f>
        <v>0</v>
      </c>
      <c r="E138">
        <f>Consumed_Tenant2_VM_Memory</f>
        <v>0</v>
      </c>
      <c r="F138">
        <f>Consumed_Tenant2_VM_Cores</f>
        <v>0</v>
      </c>
      <c r="G138">
        <f>Consumed_Tenant2_VM_Disk</f>
        <v>0</v>
      </c>
    </row>
    <row r="139" spans="3:7" x14ac:dyDescent="0.25">
      <c r="C139" s="14" t="s">
        <v>535</v>
      </c>
      <c r="D139">
        <f>Consumed_Tenant3_VM_Temp</f>
        <v>0</v>
      </c>
      <c r="E139">
        <f>Consumed_Tenant3_VM_Memory</f>
        <v>0</v>
      </c>
      <c r="F139">
        <f>Consumed_Tenant3_VM_Cores</f>
        <v>0</v>
      </c>
      <c r="G139">
        <f>Consumed_Tenant3_VM_Disk</f>
        <v>0</v>
      </c>
    </row>
    <row r="140" spans="3:7" x14ac:dyDescent="0.25">
      <c r="C140" s="14" t="s">
        <v>536</v>
      </c>
      <c r="D140">
        <f>Consumed_Tenant4_VM_Temp</f>
        <v>0</v>
      </c>
      <c r="E140">
        <f>Consumed_Tenant4_VM_Memory</f>
        <v>0</v>
      </c>
      <c r="F140">
        <f>Consumed_Tenant4_VM_Cores</f>
        <v>0</v>
      </c>
      <c r="G140">
        <f>Consumed_Tenant4_VM_Disk</f>
        <v>0</v>
      </c>
    </row>
    <row r="141" spans="3:7" x14ac:dyDescent="0.25">
      <c r="C141" s="14" t="s">
        <v>537</v>
      </c>
      <c r="D141">
        <f>Consumed_Tenant5_VM_Temp</f>
        <v>0</v>
      </c>
      <c r="E141">
        <f>Consumed_Tenant5_VM_Memory</f>
        <v>0</v>
      </c>
      <c r="F141">
        <f>Consumed_Tenant5_VM_Cores</f>
        <v>0</v>
      </c>
      <c r="G141">
        <f>Consumed_Tenant5_VM_Disk</f>
        <v>0</v>
      </c>
    </row>
    <row r="142" spans="3:7" x14ac:dyDescent="0.25">
      <c r="C142" s="14" t="s">
        <v>538</v>
      </c>
      <c r="D142">
        <f>Consumed_Tenant6_VM_Temp</f>
        <v>0</v>
      </c>
      <c r="E142">
        <f>Consumed_Tenant6_VM_Memory</f>
        <v>0</v>
      </c>
      <c r="F142">
        <f>Consumed_Tenant6_VM_Cores</f>
        <v>0</v>
      </c>
      <c r="G142">
        <f>Consumed_Tenant6_VM_Disk</f>
        <v>0</v>
      </c>
    </row>
    <row r="143" spans="3:7" x14ac:dyDescent="0.25">
      <c r="C143" s="14" t="s">
        <v>518</v>
      </c>
      <c r="D143" s="94">
        <f>Unused_Tenant_TempDisk*1024</f>
        <v>87738.037109375</v>
      </c>
      <c r="E143">
        <f>Unused_Tenant_Memory</f>
        <v>19064</v>
      </c>
      <c r="F143">
        <f>Unused_Tenant_CPU_Cores</f>
        <v>1294.7</v>
      </c>
      <c r="G143" s="94">
        <f>Unused_Tenant_Disk*1024</f>
        <v>786142.33398437488</v>
      </c>
    </row>
    <row r="158" ht="13.5" customHeight="1" x14ac:dyDescent="0.25"/>
    <row r="183" spans="2:26" s="34" customFormat="1" x14ac:dyDescent="0.25">
      <c r="B183" s="35" t="s">
        <v>539</v>
      </c>
      <c r="J183" s="35" t="s">
        <v>539</v>
      </c>
      <c r="R183" s="35" t="s">
        <v>539</v>
      </c>
      <c r="X183" s="35" t="s">
        <v>539</v>
      </c>
    </row>
    <row r="185" spans="2:26" x14ac:dyDescent="0.25">
      <c r="C185" s="37" t="s">
        <v>540</v>
      </c>
      <c r="D185" s="38"/>
      <c r="E185" s="39"/>
      <c r="M185" s="168" t="s">
        <v>541</v>
      </c>
      <c r="N185" s="153"/>
      <c r="O185" s="154"/>
      <c r="P185" s="154"/>
      <c r="W185" s="168" t="s">
        <v>542</v>
      </c>
      <c r="X185" s="153"/>
      <c r="Y185" s="154"/>
      <c r="Z185" s="154"/>
    </row>
    <row r="186" spans="2:26" x14ac:dyDescent="0.25">
      <c r="C186" s="17" t="s">
        <v>406</v>
      </c>
      <c r="D186" s="17" t="s">
        <v>249</v>
      </c>
      <c r="E186" s="17" t="s">
        <v>407</v>
      </c>
      <c r="N186" s="43" t="s">
        <v>406</v>
      </c>
      <c r="O186" s="43" t="s">
        <v>249</v>
      </c>
      <c r="P186" s="43" t="s">
        <v>407</v>
      </c>
      <c r="X186" s="43" t="s">
        <v>406</v>
      </c>
      <c r="Y186" s="43" t="s">
        <v>249</v>
      </c>
      <c r="Z186" s="43" t="s">
        <v>407</v>
      </c>
    </row>
    <row r="187" spans="2:26" x14ac:dyDescent="0.25">
      <c r="B187" t="s">
        <v>132</v>
      </c>
      <c r="C187" s="94">
        <f>(NUmber_CPU_Cores_SKU1)-Total_Allocated_VM_Cores</f>
        <v>53.099999999999994</v>
      </c>
      <c r="D187">
        <f t="shared" ref="D187:D192" si="10">Total_Allocated_VM_Cores + + Total_Allocated_GPUVM_Cores</f>
        <v>0</v>
      </c>
      <c r="E187" s="1">
        <f>((NUmber_CPU_Cores_SKU1)-Total_Allocated_VM_Cores)/(NUmber_CPU_Cores_SKU1)</f>
        <v>1</v>
      </c>
      <c r="M187" t="s">
        <v>132</v>
      </c>
      <c r="N187" s="94">
        <f>Sku_1_Memory_for_VMs</f>
        <v>348.79999999999995</v>
      </c>
      <c r="O187" s="94">
        <f t="shared" ref="O187:O192" si="11">Total_Allocated_VM_Memory + Total_Allocated_GPU_VM_Memory</f>
        <v>0</v>
      </c>
      <c r="P187" s="1">
        <f>(N187-O187)/N187</f>
        <v>1</v>
      </c>
      <c r="W187" t="s">
        <v>132</v>
      </c>
      <c r="X187">
        <f>Sku_1_Available_GPU_Number</f>
        <v>0</v>
      </c>
      <c r="Y187" cm="1">
        <f t="array" ref="Y187">Sku_1_Consumed_GPU</f>
        <v>0</v>
      </c>
      <c r="Z187" s="1" t="e">
        <f>(Sku_1_Available_GPU_Number-Sku_1_Consumed_GPU)/Sku_1_Available_GPU_Number</f>
        <v>#DIV/0!</v>
      </c>
    </row>
    <row r="188" spans="2:26" x14ac:dyDescent="0.25">
      <c r="B188" t="s">
        <v>133</v>
      </c>
      <c r="C188" s="94">
        <f>(NUmber_CPU_Cores_SKU2)-Total_Allocated_VM_Cores</f>
        <v>142.69999999999999</v>
      </c>
      <c r="D188">
        <f t="shared" si="10"/>
        <v>0</v>
      </c>
      <c r="E188" s="1">
        <f>((NUmber_CPU_Cores_SKU2)-Total_Allocated_VM_Cores)/(NUmber_CPU_Cores_SKU2)</f>
        <v>1</v>
      </c>
      <c r="M188" t="s">
        <v>133</v>
      </c>
      <c r="N188" s="94">
        <f>Sku_2_Memory_for_VMs</f>
        <v>2670.4</v>
      </c>
      <c r="O188" s="94">
        <f t="shared" si="11"/>
        <v>0</v>
      </c>
      <c r="P188" s="1">
        <f t="shared" ref="P188:P192" si="12">(N188-O188)/N188</f>
        <v>1</v>
      </c>
      <c r="W188" t="s">
        <v>133</v>
      </c>
      <c r="X188">
        <f>Sku_2_Available_GPU_Number</f>
        <v>0</v>
      </c>
      <c r="Y188">
        <f>Sku_2_Consumed_GPU</f>
        <v>0</v>
      </c>
      <c r="Z188" s="1" t="e">
        <f>(Sku_2_Available_GPU_Number-Sku_2_Consumed_GPU)/Sku_2_Available_GPU_Number</f>
        <v>#DIV/0!</v>
      </c>
    </row>
    <row r="189" spans="2:26" x14ac:dyDescent="0.25">
      <c r="B189" t="s">
        <v>134</v>
      </c>
      <c r="C189" s="94">
        <f>(NUmber_CPU_Cores_SKU3)-Total_Allocated_VM_Cores</f>
        <v>142.69999999999999</v>
      </c>
      <c r="D189">
        <f t="shared" si="10"/>
        <v>0</v>
      </c>
      <c r="E189" s="1">
        <f>((NUmber_CPU_Cores_SKU3)-Total_Allocated_VM_Cores)/(NUmber_CPU_Cores_SKU3)</f>
        <v>1</v>
      </c>
      <c r="M189" t="s">
        <v>134</v>
      </c>
      <c r="N189" s="94">
        <f>Sku_3_Memory_for_VMs</f>
        <v>2670.4</v>
      </c>
      <c r="O189" s="94">
        <f t="shared" si="11"/>
        <v>0</v>
      </c>
      <c r="P189" s="1">
        <f t="shared" si="12"/>
        <v>1</v>
      </c>
      <c r="W189" t="s">
        <v>134</v>
      </c>
      <c r="X189">
        <f>Sku_3_Available_GPU_Number</f>
        <v>0</v>
      </c>
      <c r="Y189">
        <f>Sku_3_Consumed_GPU</f>
        <v>0</v>
      </c>
      <c r="Z189" s="1" t="e">
        <f>(Sku_3_Available_GPU_Number-Sku_3_Consumed_GPU)/Sku_3_Available_GPU_Number</f>
        <v>#DIV/0!</v>
      </c>
    </row>
    <row r="190" spans="2:26" x14ac:dyDescent="0.25">
      <c r="B190" t="s">
        <v>135</v>
      </c>
      <c r="C190" s="94">
        <f>(NUmber_CPU_Cores_SKU4)-Total_Allocated_VM_Cores</f>
        <v>193.9</v>
      </c>
      <c r="D190">
        <f t="shared" si="10"/>
        <v>0</v>
      </c>
      <c r="E190" s="1">
        <f>((NUmber_CPU_Cores_SKU4)-Total_Allocated_VM_Cores)/(NUmber_CPU_Cores_SKU4)</f>
        <v>1</v>
      </c>
      <c r="M190" t="s">
        <v>135</v>
      </c>
      <c r="N190" s="94">
        <f>Sku_4_Memory_for_VMs</f>
        <v>2670.4</v>
      </c>
      <c r="O190" s="94">
        <f t="shared" si="11"/>
        <v>0</v>
      </c>
      <c r="P190" s="1">
        <f t="shared" si="12"/>
        <v>1</v>
      </c>
      <c r="W190" t="s">
        <v>135</v>
      </c>
      <c r="X190">
        <f>Sku_4_Available_GPU_Number</f>
        <v>0</v>
      </c>
      <c r="Y190">
        <f>Sku_4_Consumed_GPU</f>
        <v>0</v>
      </c>
      <c r="Z190" s="1" t="e">
        <f>(Sku_4_Available_GPU_Number-Sku_4_Consumed_GPU)/Sku_4_Available_GPU_Number</f>
        <v>#DIV/0!</v>
      </c>
    </row>
    <row r="191" spans="2:26" x14ac:dyDescent="0.25">
      <c r="B191" t="s">
        <v>136</v>
      </c>
      <c r="C191" s="94">
        <f>(NUmber_CPU_Cores_SKU5)-Total_Allocated_VM_Cores</f>
        <v>385.9</v>
      </c>
      <c r="D191">
        <f t="shared" si="10"/>
        <v>0</v>
      </c>
      <c r="E191" s="1">
        <f>((NUmber_CPU_Cores_SKU5)-Total_Allocated_VM_Cores)/(NUmber_CPU_Cores_SKU5)</f>
        <v>1</v>
      </c>
      <c r="M191" t="s">
        <v>136</v>
      </c>
      <c r="N191" s="94">
        <f>Sku_5_Memory_for_VMs</f>
        <v>6732.8</v>
      </c>
      <c r="O191" s="94">
        <f t="shared" si="11"/>
        <v>0</v>
      </c>
      <c r="P191" s="1">
        <f t="shared" si="12"/>
        <v>1</v>
      </c>
      <c r="W191" t="s">
        <v>136</v>
      </c>
      <c r="X191">
        <f>Sku_5_Available_GPU_Number</f>
        <v>0</v>
      </c>
      <c r="Y191">
        <f>Sku_5_Consumed_GPU</f>
        <v>0</v>
      </c>
      <c r="Z191" s="1" t="e">
        <f>(Sku_5_Available_GPU_Number-Sku_5_Consumed_GPU)/Sku_5_Available_GPU_Number</f>
        <v>#DIV/0!</v>
      </c>
    </row>
    <row r="192" spans="2:26" x14ac:dyDescent="0.25">
      <c r="B192" t="s">
        <v>137</v>
      </c>
      <c r="C192" s="94">
        <f>(NUmber_CPU_Cores_SKU6)-Total_Allocated_VM_Cores</f>
        <v>1294.7</v>
      </c>
      <c r="D192">
        <f t="shared" si="10"/>
        <v>0</v>
      </c>
      <c r="E192" s="1">
        <f>((NUmber_CPU_Cores_SKU6)-Total_Allocated_VM_Cores)/(NUmber_CPU_Cores_SKU6)</f>
        <v>1</v>
      </c>
      <c r="M192" t="s">
        <v>137</v>
      </c>
      <c r="N192" s="94">
        <f>Sku_6_Memory_for_VMs</f>
        <v>19064</v>
      </c>
      <c r="O192" s="94">
        <f t="shared" si="11"/>
        <v>0</v>
      </c>
      <c r="P192" s="1">
        <f t="shared" si="12"/>
        <v>1</v>
      </c>
      <c r="W192" t="s">
        <v>137</v>
      </c>
      <c r="X192">
        <f>Sku_6_Available_GPU_Number</f>
        <v>32</v>
      </c>
      <c r="Y192">
        <f>Sku_6_Consumed_GPU</f>
        <v>0</v>
      </c>
      <c r="Z192" s="1">
        <f>(Sku_6_Available_GPU_Number-Sku_6_Consumed_GPU)/Sku_6_Available_GPU_Number</f>
        <v>1</v>
      </c>
    </row>
    <row r="193" spans="5:5" x14ac:dyDescent="0.25">
      <c r="E193" s="4"/>
    </row>
    <row r="209" spans="2:17" x14ac:dyDescent="0.25">
      <c r="C209" s="37" t="s">
        <v>543</v>
      </c>
      <c r="D209" s="38"/>
      <c r="E209" s="39"/>
      <c r="M209" s="37" t="s">
        <v>544</v>
      </c>
      <c r="N209" s="38"/>
      <c r="O209" s="39"/>
      <c r="P209" s="39"/>
    </row>
    <row r="210" spans="2:17" x14ac:dyDescent="0.25">
      <c r="C210" s="17" t="s">
        <v>406</v>
      </c>
      <c r="D210" s="17" t="s">
        <v>249</v>
      </c>
      <c r="E210" s="17" t="s">
        <v>407</v>
      </c>
      <c r="N210" s="17" t="s">
        <v>406</v>
      </c>
      <c r="O210" s="17" t="s">
        <v>249</v>
      </c>
      <c r="P210" s="17" t="s">
        <v>407</v>
      </c>
    </row>
    <row r="211" spans="2:17" x14ac:dyDescent="0.25">
      <c r="B211" t="s">
        <v>132</v>
      </c>
      <c r="C211" s="94">
        <f>(Available_Temp_Disk_SKU1)-(Total_Allocated_VM_TempDisk/1024)</f>
        <v>3.3954468866189327</v>
      </c>
      <c r="D211" s="7">
        <f t="shared" ref="D211:D216" si="13">(Total_Allocated_VM_TempDisk + + Total_Allocated_GPU_VM_TempDisk)/1024</f>
        <v>0</v>
      </c>
      <c r="E211" s="167">
        <f>((Available_Temp_Disk_SKU1)-(Total_Allocated_VM_TempDisk/1024))/(Available_Temp_Disk_SKU1)</f>
        <v>1</v>
      </c>
      <c r="F211" t="s">
        <v>257</v>
      </c>
      <c r="M211" t="s">
        <v>132</v>
      </c>
      <c r="N211" s="94">
        <f>(Available_Disk_Storage_SKU1)-(Total_Allocated_VM_Disk/1024)</f>
        <v>27.141053229570389</v>
      </c>
      <c r="O211" s="94">
        <f t="shared" ref="O211:O216" si="14">(Total_Allocated_VM_Disk +  Total_Allocated_GPU_VM_Disk)/1024</f>
        <v>0</v>
      </c>
      <c r="P211" s="1">
        <f>((Available_Disk_Storage_SKU1)-(Total_Allocated_VM_Disk/1024))/(Available_Disk_Storage_SKU1)</f>
        <v>1</v>
      </c>
      <c r="Q211" t="s">
        <v>257</v>
      </c>
    </row>
    <row r="212" spans="2:17" x14ac:dyDescent="0.25">
      <c r="B212" t="s">
        <v>133</v>
      </c>
      <c r="C212" s="94">
        <f>(Available_Temp_Disk_SKU2)-(Total_Allocated_VM_TempDisk/1024)</f>
        <v>10.186340659856796</v>
      </c>
      <c r="D212" s="7">
        <f t="shared" si="13"/>
        <v>0</v>
      </c>
      <c r="E212" s="167">
        <f>((Available_Temp_Disk_SKU2)-(Total_Allocated_VM_TempDisk/1024))/(Available_Temp_Disk_SKU2)</f>
        <v>1</v>
      </c>
      <c r="F212" t="s">
        <v>257</v>
      </c>
      <c r="M212" t="s">
        <v>133</v>
      </c>
      <c r="N212" s="94">
        <f>(Available_Disk_Storage_SKU2)-(Total_Allocated_VM_Disk/1024)</f>
        <v>88.259097188711166</v>
      </c>
      <c r="O212" s="94">
        <f t="shared" si="14"/>
        <v>0</v>
      </c>
      <c r="P212" s="1">
        <f>((Available_Disk_Storage_SKU2)-(Total_Allocated_VM_Disk/1024))/(Available_Disk_Storage_SKU2)</f>
        <v>1</v>
      </c>
      <c r="Q212" t="s">
        <v>257</v>
      </c>
    </row>
    <row r="213" spans="2:17" x14ac:dyDescent="0.25">
      <c r="B213" t="s">
        <v>134</v>
      </c>
      <c r="C213" s="94">
        <f>(Available_Temp_Disk_SKU3)-(Total_Allocated_VM_TempDisk/1024)</f>
        <v>6.5192580223083496</v>
      </c>
      <c r="D213" s="7">
        <f t="shared" si="13"/>
        <v>0</v>
      </c>
      <c r="E213" s="167">
        <f>((Available_Temp_Disk_SKU3)-(Total_Allocated_VM_TempDisk/1024))/(Available_Temp_Disk_SKU3)</f>
        <v>1</v>
      </c>
      <c r="F213" t="s">
        <v>257</v>
      </c>
      <c r="M213" t="s">
        <v>134</v>
      </c>
      <c r="N213" s="94">
        <f>(Available_Disk_Storage_SKU3)-(Total_Allocated_VM_Disk/1024)</f>
        <v>55.255353450775146</v>
      </c>
      <c r="O213" s="94">
        <f t="shared" si="14"/>
        <v>0</v>
      </c>
      <c r="P213" s="1">
        <f>((Available_Disk_Storage_SKU3)-(Total_Allocated_VM_Disk/1024))/(Available_Disk_Storage_SKU3)</f>
        <v>1</v>
      </c>
      <c r="Q213" t="s">
        <v>257</v>
      </c>
    </row>
    <row r="214" spans="2:17" x14ac:dyDescent="0.25">
      <c r="B214" t="s">
        <v>135</v>
      </c>
      <c r="C214" s="94">
        <f>(Available_Temp_Disk_SKU4)-(Total_Allocated_VM_TempDisk/1024)</f>
        <v>14.551915228366852</v>
      </c>
      <c r="D214" s="7">
        <f t="shared" si="13"/>
        <v>0</v>
      </c>
      <c r="E214" s="167">
        <f>((Available_Temp_Disk_SKU4)-(Total_Allocated_VM_TempDisk/1024))/(Available_Temp_Disk_SKU4)</f>
        <v>1</v>
      </c>
      <c r="F214" t="s">
        <v>257</v>
      </c>
      <c r="M214" t="s">
        <v>135</v>
      </c>
      <c r="N214" s="94">
        <f>(Available_Disk_Storage_SKU4)-(Total_Allocated_VM_Disk/1024)</f>
        <v>127.54926830530167</v>
      </c>
      <c r="O214" s="94">
        <f t="shared" si="14"/>
        <v>0</v>
      </c>
      <c r="P214" s="1">
        <f>((Available_Disk_Storage_SKU4)-(Total_Allocated_VM_Disk/1024))/(Available_Disk_Storage_SKU4)</f>
        <v>1</v>
      </c>
      <c r="Q214" t="s">
        <v>257</v>
      </c>
    </row>
    <row r="215" spans="2:17" x14ac:dyDescent="0.25">
      <c r="B215" t="s">
        <v>136</v>
      </c>
      <c r="C215" s="94">
        <f>(Available_Temp_Disk_SKU5)-(Total_Allocated_VM_TempDisk/1024)</f>
        <v>26.193447411060333</v>
      </c>
      <c r="D215" s="7">
        <f t="shared" si="13"/>
        <v>0</v>
      </c>
      <c r="E215" s="167">
        <f>((Available_Temp_Disk_SKU5)-(Total_Allocated_VM_TempDisk/1024))/(Available_Temp_Disk_SKU5)</f>
        <v>1</v>
      </c>
      <c r="F215" t="s">
        <v>257</v>
      </c>
      <c r="M215" t="s">
        <v>136</v>
      </c>
      <c r="N215" s="94">
        <f>(Available_Disk_Storage_SKU5)-(Total_Allocated_VM_Disk/1024)</f>
        <v>232.323057949543</v>
      </c>
      <c r="O215" s="94">
        <f t="shared" si="14"/>
        <v>0</v>
      </c>
      <c r="P215" s="1">
        <f>((Available_Disk_Storage_SKU5)-(Total_Allocated_VM_Disk/1024))/(Available_Disk_Storage_SKU5)</f>
        <v>1</v>
      </c>
      <c r="Q215" t="s">
        <v>257</v>
      </c>
    </row>
    <row r="216" spans="2:17" x14ac:dyDescent="0.25">
      <c r="B216" t="s">
        <v>137</v>
      </c>
      <c r="C216" s="94">
        <f>(Available_Temp_Disk_SKU6)-(Total_Allocated_VM_TempDisk/1024)</f>
        <v>85.681676864624023</v>
      </c>
      <c r="D216" s="7">
        <f t="shared" si="13"/>
        <v>0</v>
      </c>
      <c r="E216" s="167">
        <f>((Available_Temp_Disk_SKU6)-(Total_Allocated_VM_TempDisk/1024))/(Available_Temp_Disk_SKU6)</f>
        <v>1</v>
      </c>
      <c r="F216" t="s">
        <v>257</v>
      </c>
      <c r="M216" t="s">
        <v>137</v>
      </c>
      <c r="N216" s="94">
        <f>(Available_Disk_Storage_SKU6)-(Total_Allocated_VM_Disk/1024)</f>
        <v>767.7171230316161</v>
      </c>
      <c r="O216" s="94">
        <f t="shared" si="14"/>
        <v>0</v>
      </c>
      <c r="P216" s="1">
        <f>((Available_Disk_Storage_SKU6)-(Total_Allocated_VM_Disk/1024))/(Available_Disk_Storage_SKU6)</f>
        <v>1</v>
      </c>
    </row>
  </sheetData>
  <mergeCells count="1">
    <mergeCell ref="W112:Z112"/>
  </mergeCells>
  <phoneticPr fontId="40" type="noConversion"/>
  <pageMargins left="0.7" right="0.7" top="0.75" bottom="0.75" header="0.3" footer="0.3"/>
  <pageSetup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A1:E34"/>
  <sheetViews>
    <sheetView workbookViewId="0">
      <selection activeCell="C30" sqref="C30"/>
    </sheetView>
  </sheetViews>
  <sheetFormatPr defaultColWidth="8.85546875" defaultRowHeight="15" x14ac:dyDescent="0.25"/>
  <cols>
    <col min="1" max="1" width="27.42578125" customWidth="1"/>
    <col min="3" max="3" width="36.140625" customWidth="1"/>
    <col min="4" max="4" width="106.42578125" customWidth="1"/>
  </cols>
  <sheetData>
    <row r="1" spans="1:5" x14ac:dyDescent="0.25">
      <c r="A1" t="s">
        <v>545</v>
      </c>
      <c r="C1" s="20" t="s">
        <v>546</v>
      </c>
      <c r="D1" s="20" t="s">
        <v>547</v>
      </c>
    </row>
    <row r="2" spans="1:5" x14ac:dyDescent="0.25">
      <c r="A2" s="15">
        <v>4</v>
      </c>
      <c r="C2" s="21">
        <v>8</v>
      </c>
      <c r="D2" s="17" t="s">
        <v>548</v>
      </c>
    </row>
    <row r="3" spans="1:5" x14ac:dyDescent="0.25">
      <c r="A3" s="15">
        <v>5</v>
      </c>
      <c r="C3" s="15"/>
    </row>
    <row r="4" spans="1:5" x14ac:dyDescent="0.25">
      <c r="A4" s="15">
        <v>6</v>
      </c>
      <c r="C4" s="20" t="s">
        <v>549</v>
      </c>
      <c r="D4" s="20" t="s">
        <v>547</v>
      </c>
    </row>
    <row r="5" spans="1:5" x14ac:dyDescent="0.25">
      <c r="A5" s="15">
        <v>7</v>
      </c>
      <c r="C5" s="21">
        <v>0.1</v>
      </c>
      <c r="D5" s="17" t="s">
        <v>550</v>
      </c>
    </row>
    <row r="6" spans="1:5" x14ac:dyDescent="0.25">
      <c r="A6" s="15">
        <v>8</v>
      </c>
    </row>
    <row r="7" spans="1:5" x14ac:dyDescent="0.25">
      <c r="A7" s="15">
        <v>9</v>
      </c>
      <c r="C7" s="20" t="s">
        <v>551</v>
      </c>
      <c r="D7" s="20" t="s">
        <v>547</v>
      </c>
    </row>
    <row r="8" spans="1:5" x14ac:dyDescent="0.25">
      <c r="A8" s="15">
        <v>10</v>
      </c>
      <c r="C8" s="21">
        <v>3500</v>
      </c>
      <c r="D8" s="17" t="s">
        <v>552</v>
      </c>
    </row>
    <row r="9" spans="1:5" x14ac:dyDescent="0.25">
      <c r="A9" s="15">
        <v>11</v>
      </c>
    </row>
    <row r="10" spans="1:5" x14ac:dyDescent="0.25">
      <c r="A10" s="15">
        <v>12</v>
      </c>
      <c r="C10" s="20" t="s">
        <v>553</v>
      </c>
      <c r="D10" s="20" t="s">
        <v>547</v>
      </c>
    </row>
    <row r="11" spans="1:5" x14ac:dyDescent="0.25">
      <c r="A11" s="15">
        <v>13</v>
      </c>
      <c r="C11" s="15">
        <v>0.15</v>
      </c>
      <c r="D11" t="s">
        <v>554</v>
      </c>
    </row>
    <row r="12" spans="1:5" x14ac:dyDescent="0.25">
      <c r="A12" s="15">
        <v>14</v>
      </c>
    </row>
    <row r="13" spans="1:5" x14ac:dyDescent="0.25">
      <c r="A13" s="15">
        <v>15</v>
      </c>
      <c r="C13" s="20" t="s">
        <v>555</v>
      </c>
      <c r="D13" s="20" t="s">
        <v>547</v>
      </c>
    </row>
    <row r="14" spans="1:5" x14ac:dyDescent="0.25">
      <c r="A14" s="15">
        <v>16</v>
      </c>
      <c r="C14" s="15">
        <v>146</v>
      </c>
      <c r="D14" t="s">
        <v>556</v>
      </c>
    </row>
    <row r="15" spans="1:5" x14ac:dyDescent="0.25">
      <c r="C15" s="20" t="s">
        <v>557</v>
      </c>
      <c r="D15" s="20" t="s">
        <v>547</v>
      </c>
      <c r="E15" s="140" t="s">
        <v>558</v>
      </c>
    </row>
    <row r="16" spans="1:5" x14ac:dyDescent="0.25">
      <c r="C16" s="15">
        <v>268</v>
      </c>
      <c r="D16" t="s">
        <v>559</v>
      </c>
      <c r="E16" s="140">
        <v>242</v>
      </c>
    </row>
    <row r="17" spans="3:5" x14ac:dyDescent="0.25">
      <c r="C17" s="15" t="s">
        <v>560</v>
      </c>
      <c r="D17" t="s">
        <v>561</v>
      </c>
    </row>
    <row r="19" spans="3:5" x14ac:dyDescent="0.25">
      <c r="C19" s="20" t="s">
        <v>562</v>
      </c>
      <c r="D19" s="20" t="s">
        <v>547</v>
      </c>
    </row>
    <row r="20" spans="3:5" x14ac:dyDescent="0.25">
      <c r="C20" s="118">
        <v>160</v>
      </c>
      <c r="D20" t="s">
        <v>563</v>
      </c>
      <c r="E20" s="140" t="s">
        <v>564</v>
      </c>
    </row>
    <row r="21" spans="3:5" x14ac:dyDescent="0.25">
      <c r="C21" s="20" t="s">
        <v>565</v>
      </c>
      <c r="D21" s="20" t="s">
        <v>547</v>
      </c>
    </row>
    <row r="22" spans="3:5" x14ac:dyDescent="0.25">
      <c r="C22" s="15">
        <v>0.2</v>
      </c>
      <c r="D22" t="s">
        <v>566</v>
      </c>
    </row>
    <row r="23" spans="3:5" x14ac:dyDescent="0.25">
      <c r="C23" s="20" t="s">
        <v>567</v>
      </c>
      <c r="D23" s="20" t="s">
        <v>547</v>
      </c>
    </row>
    <row r="24" spans="3:5" x14ac:dyDescent="0.25">
      <c r="C24" s="15">
        <v>3.0000000000000001E-3</v>
      </c>
      <c r="D24" t="s">
        <v>568</v>
      </c>
    </row>
    <row r="25" spans="3:5" x14ac:dyDescent="0.25">
      <c r="C25" s="20" t="s">
        <v>569</v>
      </c>
      <c r="D25" s="20" t="s">
        <v>547</v>
      </c>
    </row>
    <row r="26" spans="3:5" x14ac:dyDescent="0.25">
      <c r="C26" s="15">
        <v>4</v>
      </c>
      <c r="D26" t="s">
        <v>570</v>
      </c>
    </row>
    <row r="27" spans="3:5" x14ac:dyDescent="0.25">
      <c r="C27" s="20" t="s">
        <v>571</v>
      </c>
      <c r="D27" s="20" t="s">
        <v>547</v>
      </c>
    </row>
    <row r="28" spans="3:5" x14ac:dyDescent="0.25">
      <c r="C28" s="15">
        <v>670</v>
      </c>
      <c r="D28" t="s">
        <v>572</v>
      </c>
    </row>
    <row r="29" spans="3:5" x14ac:dyDescent="0.25">
      <c r="C29" s="20" t="s">
        <v>573</v>
      </c>
      <c r="D29" s="20" t="s">
        <v>547</v>
      </c>
    </row>
    <row r="30" spans="3:5" x14ac:dyDescent="0.25">
      <c r="C30" s="15">
        <v>18</v>
      </c>
      <c r="D30" t="s">
        <v>574</v>
      </c>
      <c r="E30" s="140" t="s">
        <v>575</v>
      </c>
    </row>
    <row r="31" spans="3:5" x14ac:dyDescent="0.25">
      <c r="C31" s="20" t="s">
        <v>576</v>
      </c>
      <c r="D31" s="20" t="s">
        <v>547</v>
      </c>
    </row>
    <row r="32" spans="3:5" x14ac:dyDescent="0.25">
      <c r="C32" s="15">
        <v>0.125</v>
      </c>
      <c r="D32" t="s">
        <v>577</v>
      </c>
    </row>
    <row r="33" spans="3:5" x14ac:dyDescent="0.25">
      <c r="C33" s="20" t="s">
        <v>578</v>
      </c>
      <c r="D33" s="20" t="s">
        <v>547</v>
      </c>
    </row>
    <row r="34" spans="3:5" x14ac:dyDescent="0.25">
      <c r="C34" s="15">
        <v>142</v>
      </c>
      <c r="D34" t="s">
        <v>579</v>
      </c>
      <c r="E34" s="140"/>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A2:K134"/>
  <sheetViews>
    <sheetView workbookViewId="0">
      <selection activeCell="J82" sqref="J82"/>
    </sheetView>
  </sheetViews>
  <sheetFormatPr defaultColWidth="8.85546875" defaultRowHeight="15" x14ac:dyDescent="0.25"/>
  <cols>
    <col min="1" max="1" width="28.85546875" customWidth="1"/>
    <col min="2" max="2" width="26.85546875" customWidth="1"/>
    <col min="3" max="3" width="28" customWidth="1"/>
    <col min="4" max="4" width="23.42578125" customWidth="1"/>
    <col min="6" max="6" width="15.42578125" customWidth="1"/>
    <col min="7" max="7" width="11.42578125" customWidth="1"/>
    <col min="8" max="10" width="15.28515625" bestFit="1" customWidth="1"/>
    <col min="11" max="11" width="10" customWidth="1"/>
  </cols>
  <sheetData>
    <row r="2" spans="1:11" x14ac:dyDescent="0.25">
      <c r="A2" s="27" t="s">
        <v>580</v>
      </c>
      <c r="B2" s="27" t="s">
        <v>342</v>
      </c>
    </row>
    <row r="3" spans="1:11" x14ac:dyDescent="0.25">
      <c r="A3" t="s">
        <v>340</v>
      </c>
      <c r="B3" t="s">
        <v>344</v>
      </c>
    </row>
    <row r="4" spans="1:11" x14ac:dyDescent="0.25">
      <c r="A4" t="s">
        <v>341</v>
      </c>
      <c r="B4" t="s">
        <v>345</v>
      </c>
    </row>
    <row r="5" spans="1:11" x14ac:dyDescent="0.25">
      <c r="A5" t="s">
        <v>588</v>
      </c>
      <c r="B5" t="s">
        <v>343</v>
      </c>
    </row>
    <row r="6" spans="1:11" x14ac:dyDescent="0.25">
      <c r="A6" t="s">
        <v>88</v>
      </c>
      <c r="B6" t="s">
        <v>88</v>
      </c>
    </row>
    <row r="12" spans="1:11" x14ac:dyDescent="0.25">
      <c r="A12" t="s">
        <v>581</v>
      </c>
      <c r="B12" t="s">
        <v>582</v>
      </c>
      <c r="C12" t="s">
        <v>583</v>
      </c>
      <c r="D12" t="s">
        <v>584</v>
      </c>
      <c r="E12" t="s">
        <v>585</v>
      </c>
      <c r="F12" t="s">
        <v>586</v>
      </c>
      <c r="G12" t="s">
        <v>587</v>
      </c>
      <c r="H12" t="s">
        <v>730</v>
      </c>
      <c r="I12" t="s">
        <v>731</v>
      </c>
      <c r="J12" t="s">
        <v>732</v>
      </c>
      <c r="K12" t="s">
        <v>589</v>
      </c>
    </row>
    <row r="13" spans="1:11" x14ac:dyDescent="0.25">
      <c r="A13" s="126" t="s">
        <v>153</v>
      </c>
    </row>
    <row r="14" spans="1:11" x14ac:dyDescent="0.25">
      <c r="A14" s="120" t="s">
        <v>155</v>
      </c>
      <c r="B14">
        <v>23</v>
      </c>
      <c r="C14">
        <v>0</v>
      </c>
      <c r="D14">
        <v>0</v>
      </c>
      <c r="E14">
        <v>0</v>
      </c>
      <c r="F14">
        <v>0</v>
      </c>
      <c r="G14">
        <v>0</v>
      </c>
      <c r="H14">
        <v>0</v>
      </c>
      <c r="I14">
        <v>0</v>
      </c>
      <c r="J14">
        <v>0</v>
      </c>
      <c r="K14">
        <v>0</v>
      </c>
    </row>
    <row r="15" spans="1:11" x14ac:dyDescent="0.25">
      <c r="A15" s="120" t="s">
        <v>159</v>
      </c>
      <c r="B15">
        <v>0</v>
      </c>
      <c r="C15">
        <v>0</v>
      </c>
      <c r="D15">
        <v>0</v>
      </c>
      <c r="E15">
        <v>0</v>
      </c>
      <c r="F15">
        <v>0</v>
      </c>
      <c r="G15">
        <v>0</v>
      </c>
      <c r="H15">
        <v>0</v>
      </c>
      <c r="I15">
        <v>0</v>
      </c>
      <c r="J15">
        <v>0</v>
      </c>
      <c r="K15">
        <v>0</v>
      </c>
    </row>
    <row r="16" spans="1:11" x14ac:dyDescent="0.25">
      <c r="A16" s="120" t="s">
        <v>162</v>
      </c>
      <c r="B16">
        <v>0</v>
      </c>
      <c r="C16">
        <v>0</v>
      </c>
      <c r="D16">
        <v>0</v>
      </c>
      <c r="E16">
        <v>0</v>
      </c>
      <c r="F16">
        <v>0</v>
      </c>
      <c r="G16">
        <v>0</v>
      </c>
      <c r="H16">
        <v>0</v>
      </c>
      <c r="I16">
        <v>0</v>
      </c>
      <c r="J16">
        <v>0</v>
      </c>
      <c r="K16">
        <v>0</v>
      </c>
    </row>
    <row r="17" spans="1:11" x14ac:dyDescent="0.25">
      <c r="A17" s="120" t="s">
        <v>164</v>
      </c>
      <c r="B17">
        <v>0</v>
      </c>
      <c r="C17">
        <v>0</v>
      </c>
      <c r="D17">
        <v>0</v>
      </c>
      <c r="E17">
        <v>0</v>
      </c>
      <c r="F17">
        <v>0</v>
      </c>
      <c r="G17">
        <v>0</v>
      </c>
      <c r="H17">
        <v>0</v>
      </c>
      <c r="I17">
        <v>0</v>
      </c>
      <c r="J17">
        <v>0</v>
      </c>
      <c r="K17">
        <v>0</v>
      </c>
    </row>
    <row r="18" spans="1:11" x14ac:dyDescent="0.25">
      <c r="A18" s="120" t="s">
        <v>167</v>
      </c>
      <c r="B18">
        <v>0</v>
      </c>
      <c r="C18">
        <v>0</v>
      </c>
      <c r="D18">
        <v>0</v>
      </c>
      <c r="E18">
        <v>0</v>
      </c>
      <c r="F18">
        <v>0</v>
      </c>
      <c r="G18">
        <v>0</v>
      </c>
      <c r="H18">
        <v>0</v>
      </c>
      <c r="I18">
        <v>0</v>
      </c>
      <c r="J18">
        <v>0</v>
      </c>
      <c r="K18">
        <v>0</v>
      </c>
    </row>
    <row r="19" spans="1:11" x14ac:dyDescent="0.25">
      <c r="A19" s="126" t="s">
        <v>168</v>
      </c>
    </row>
    <row r="20" spans="1:11" x14ac:dyDescent="0.25">
      <c r="A20" s="121" t="s">
        <v>169</v>
      </c>
      <c r="B20">
        <v>0</v>
      </c>
      <c r="C20">
        <v>0</v>
      </c>
      <c r="D20">
        <v>0</v>
      </c>
      <c r="E20">
        <v>0</v>
      </c>
      <c r="F20">
        <v>0</v>
      </c>
      <c r="G20">
        <v>0</v>
      </c>
      <c r="H20">
        <v>0</v>
      </c>
      <c r="I20">
        <v>0</v>
      </c>
      <c r="J20">
        <v>0</v>
      </c>
      <c r="K20">
        <v>0</v>
      </c>
    </row>
    <row r="21" spans="1:11" x14ac:dyDescent="0.25">
      <c r="A21" s="121" t="s">
        <v>170</v>
      </c>
      <c r="B21">
        <v>19</v>
      </c>
      <c r="C21">
        <v>53</v>
      </c>
      <c r="D21">
        <v>97</v>
      </c>
      <c r="E21">
        <v>0</v>
      </c>
      <c r="F21">
        <v>0</v>
      </c>
      <c r="G21">
        <v>0</v>
      </c>
      <c r="H21">
        <v>0</v>
      </c>
      <c r="I21">
        <v>0</v>
      </c>
      <c r="J21">
        <v>0</v>
      </c>
      <c r="K21">
        <v>0</v>
      </c>
    </row>
    <row r="22" spans="1:11" x14ac:dyDescent="0.25">
      <c r="A22" s="121" t="s">
        <v>171</v>
      </c>
      <c r="B22">
        <v>12</v>
      </c>
      <c r="C22">
        <v>42</v>
      </c>
      <c r="D22">
        <v>82</v>
      </c>
      <c r="E22">
        <v>0</v>
      </c>
      <c r="F22">
        <v>0</v>
      </c>
      <c r="G22">
        <v>0</v>
      </c>
      <c r="H22">
        <v>0</v>
      </c>
      <c r="I22">
        <v>0</v>
      </c>
      <c r="J22">
        <v>0</v>
      </c>
      <c r="K22">
        <v>0</v>
      </c>
    </row>
    <row r="23" spans="1:11" x14ac:dyDescent="0.25">
      <c r="A23" s="121" t="s">
        <v>172</v>
      </c>
      <c r="B23">
        <v>12</v>
      </c>
      <c r="C23">
        <v>43</v>
      </c>
      <c r="D23">
        <v>84</v>
      </c>
      <c r="E23">
        <v>0</v>
      </c>
      <c r="F23">
        <v>0</v>
      </c>
      <c r="G23">
        <v>0</v>
      </c>
      <c r="H23">
        <v>0</v>
      </c>
      <c r="I23">
        <v>0</v>
      </c>
      <c r="J23">
        <v>0</v>
      </c>
      <c r="K23">
        <v>0</v>
      </c>
    </row>
    <row r="24" spans="1:11" x14ac:dyDescent="0.25">
      <c r="A24" s="121" t="s">
        <v>173</v>
      </c>
      <c r="B24">
        <v>0</v>
      </c>
      <c r="C24">
        <v>0</v>
      </c>
      <c r="D24">
        <v>0</v>
      </c>
      <c r="E24">
        <v>0</v>
      </c>
      <c r="F24">
        <v>0</v>
      </c>
      <c r="G24">
        <v>0</v>
      </c>
      <c r="H24">
        <v>0</v>
      </c>
      <c r="I24">
        <v>0</v>
      </c>
      <c r="J24">
        <v>0</v>
      </c>
      <c r="K24">
        <v>0</v>
      </c>
    </row>
    <row r="25" spans="1:11" x14ac:dyDescent="0.25">
      <c r="A25" s="121" t="s">
        <v>175</v>
      </c>
      <c r="B25">
        <v>0</v>
      </c>
      <c r="C25">
        <v>0</v>
      </c>
      <c r="D25">
        <v>0</v>
      </c>
      <c r="E25">
        <v>0</v>
      </c>
      <c r="F25">
        <v>0</v>
      </c>
      <c r="G25">
        <v>0</v>
      </c>
      <c r="H25">
        <v>0</v>
      </c>
      <c r="I25">
        <v>0</v>
      </c>
      <c r="J25">
        <v>0</v>
      </c>
      <c r="K25">
        <v>0</v>
      </c>
    </row>
    <row r="26" spans="1:11" x14ac:dyDescent="0.25">
      <c r="A26" s="121" t="s">
        <v>177</v>
      </c>
      <c r="B26">
        <v>0</v>
      </c>
      <c r="C26">
        <v>0</v>
      </c>
      <c r="D26">
        <v>0</v>
      </c>
      <c r="E26">
        <v>0</v>
      </c>
      <c r="F26">
        <v>0</v>
      </c>
      <c r="G26">
        <v>0</v>
      </c>
      <c r="H26">
        <v>0</v>
      </c>
      <c r="I26">
        <v>0</v>
      </c>
      <c r="J26">
        <v>0</v>
      </c>
      <c r="K26">
        <v>0</v>
      </c>
    </row>
    <row r="27" spans="1:11" x14ac:dyDescent="0.25">
      <c r="A27" s="121" t="s">
        <v>179</v>
      </c>
      <c r="B27">
        <v>0</v>
      </c>
      <c r="C27">
        <v>0</v>
      </c>
      <c r="D27">
        <v>0</v>
      </c>
      <c r="E27">
        <v>0</v>
      </c>
      <c r="F27">
        <v>0</v>
      </c>
      <c r="G27">
        <v>0</v>
      </c>
      <c r="H27">
        <v>0</v>
      </c>
      <c r="I27">
        <v>0</v>
      </c>
      <c r="J27">
        <v>0</v>
      </c>
      <c r="K27">
        <v>0</v>
      </c>
    </row>
    <row r="28" spans="1:11" x14ac:dyDescent="0.25">
      <c r="A28" s="126" t="s">
        <v>181</v>
      </c>
    </row>
    <row r="29" spans="1:11" x14ac:dyDescent="0.25">
      <c r="A29" s="122" t="s">
        <v>183</v>
      </c>
      <c r="B29">
        <v>0</v>
      </c>
      <c r="C29">
        <v>0</v>
      </c>
      <c r="D29">
        <v>0</v>
      </c>
      <c r="E29">
        <v>0</v>
      </c>
      <c r="F29">
        <v>0</v>
      </c>
      <c r="G29">
        <v>0</v>
      </c>
      <c r="H29">
        <v>0</v>
      </c>
      <c r="I29">
        <v>0</v>
      </c>
      <c r="J29">
        <v>0</v>
      </c>
      <c r="K29">
        <v>0</v>
      </c>
    </row>
    <row r="30" spans="1:11" x14ac:dyDescent="0.25">
      <c r="A30" s="122" t="s">
        <v>185</v>
      </c>
      <c r="B30">
        <v>0</v>
      </c>
      <c r="C30">
        <v>0</v>
      </c>
      <c r="D30">
        <v>0</v>
      </c>
      <c r="E30">
        <v>0</v>
      </c>
      <c r="F30">
        <v>0</v>
      </c>
      <c r="G30">
        <v>0</v>
      </c>
      <c r="H30">
        <v>0</v>
      </c>
      <c r="I30">
        <v>0</v>
      </c>
      <c r="J30">
        <v>0</v>
      </c>
      <c r="K30">
        <v>0</v>
      </c>
    </row>
    <row r="31" spans="1:11" x14ac:dyDescent="0.25">
      <c r="A31" s="122" t="s">
        <v>187</v>
      </c>
      <c r="B31">
        <v>0</v>
      </c>
      <c r="C31">
        <v>0</v>
      </c>
      <c r="D31">
        <v>0</v>
      </c>
      <c r="E31">
        <v>0</v>
      </c>
      <c r="F31">
        <v>0</v>
      </c>
      <c r="G31">
        <v>0</v>
      </c>
      <c r="H31">
        <v>0</v>
      </c>
      <c r="I31">
        <v>0</v>
      </c>
      <c r="J31">
        <v>0</v>
      </c>
      <c r="K31">
        <v>0</v>
      </c>
    </row>
    <row r="32" spans="1:11" x14ac:dyDescent="0.25">
      <c r="A32" s="122" t="s">
        <v>189</v>
      </c>
      <c r="B32">
        <v>0</v>
      </c>
      <c r="C32">
        <v>0</v>
      </c>
      <c r="D32">
        <v>0</v>
      </c>
      <c r="E32">
        <v>0</v>
      </c>
      <c r="F32">
        <v>0</v>
      </c>
      <c r="G32">
        <v>0</v>
      </c>
      <c r="H32">
        <v>0</v>
      </c>
      <c r="I32">
        <v>0</v>
      </c>
      <c r="J32">
        <v>0</v>
      </c>
      <c r="K32">
        <v>0</v>
      </c>
    </row>
    <row r="33" spans="1:11" x14ac:dyDescent="0.25">
      <c r="A33" s="122" t="s">
        <v>191</v>
      </c>
      <c r="B33">
        <v>0</v>
      </c>
      <c r="C33">
        <v>0</v>
      </c>
      <c r="D33">
        <v>0</v>
      </c>
      <c r="E33">
        <v>0</v>
      </c>
      <c r="F33">
        <v>0</v>
      </c>
      <c r="G33">
        <v>0</v>
      </c>
      <c r="H33">
        <v>0</v>
      </c>
      <c r="I33">
        <v>0</v>
      </c>
      <c r="J33">
        <v>0</v>
      </c>
      <c r="K33">
        <v>0</v>
      </c>
    </row>
    <row r="34" spans="1:11" x14ac:dyDescent="0.25">
      <c r="A34" s="122" t="s">
        <v>193</v>
      </c>
      <c r="B34">
        <v>0</v>
      </c>
      <c r="C34">
        <v>0</v>
      </c>
      <c r="D34">
        <v>0</v>
      </c>
      <c r="E34">
        <v>0</v>
      </c>
      <c r="F34">
        <v>0</v>
      </c>
      <c r="G34">
        <v>0</v>
      </c>
      <c r="H34">
        <v>0</v>
      </c>
      <c r="I34">
        <v>0</v>
      </c>
      <c r="J34">
        <v>0</v>
      </c>
      <c r="K34">
        <v>0</v>
      </c>
    </row>
    <row r="35" spans="1:11" x14ac:dyDescent="0.25">
      <c r="A35" s="122" t="s">
        <v>195</v>
      </c>
      <c r="B35">
        <v>0</v>
      </c>
      <c r="C35">
        <v>0</v>
      </c>
      <c r="D35">
        <v>0</v>
      </c>
      <c r="E35">
        <v>0</v>
      </c>
      <c r="F35">
        <v>0</v>
      </c>
      <c r="G35">
        <v>0</v>
      </c>
      <c r="H35">
        <v>0</v>
      </c>
      <c r="I35">
        <v>0</v>
      </c>
      <c r="J35">
        <v>0</v>
      </c>
      <c r="K35">
        <v>0</v>
      </c>
    </row>
    <row r="36" spans="1:11" x14ac:dyDescent="0.25">
      <c r="A36" s="126" t="s">
        <v>197</v>
      </c>
    </row>
    <row r="37" spans="1:11" x14ac:dyDescent="0.25">
      <c r="A37" s="120" t="s">
        <v>199</v>
      </c>
      <c r="B37">
        <v>0</v>
      </c>
      <c r="C37">
        <v>0</v>
      </c>
      <c r="D37">
        <v>0</v>
      </c>
      <c r="E37">
        <v>0</v>
      </c>
      <c r="F37">
        <v>0</v>
      </c>
      <c r="G37">
        <v>0</v>
      </c>
      <c r="H37">
        <v>0</v>
      </c>
      <c r="I37">
        <v>0</v>
      </c>
      <c r="J37">
        <v>0</v>
      </c>
      <c r="K37">
        <v>0</v>
      </c>
    </row>
    <row r="38" spans="1:11" x14ac:dyDescent="0.25">
      <c r="A38" s="120" t="s">
        <v>201</v>
      </c>
      <c r="B38">
        <v>0</v>
      </c>
      <c r="C38">
        <v>0</v>
      </c>
      <c r="D38">
        <v>0</v>
      </c>
      <c r="E38">
        <v>0</v>
      </c>
      <c r="F38">
        <v>0</v>
      </c>
      <c r="G38">
        <v>0</v>
      </c>
      <c r="H38">
        <v>0</v>
      </c>
      <c r="I38">
        <v>0</v>
      </c>
      <c r="J38">
        <v>0</v>
      </c>
      <c r="K38">
        <v>0</v>
      </c>
    </row>
    <row r="39" spans="1:11" x14ac:dyDescent="0.25">
      <c r="A39" s="120" t="s">
        <v>202</v>
      </c>
      <c r="B39">
        <v>0</v>
      </c>
      <c r="C39">
        <v>0</v>
      </c>
      <c r="D39">
        <v>0</v>
      </c>
      <c r="E39">
        <v>0</v>
      </c>
      <c r="F39">
        <v>0</v>
      </c>
      <c r="G39">
        <v>0</v>
      </c>
      <c r="H39">
        <v>0</v>
      </c>
      <c r="I39">
        <v>0</v>
      </c>
      <c r="J39">
        <v>0</v>
      </c>
      <c r="K39">
        <v>0</v>
      </c>
    </row>
    <row r="40" spans="1:11" x14ac:dyDescent="0.25">
      <c r="A40" s="120" t="s">
        <v>204</v>
      </c>
      <c r="B40">
        <v>0</v>
      </c>
      <c r="C40">
        <v>0</v>
      </c>
      <c r="D40">
        <v>0</v>
      </c>
      <c r="E40">
        <v>0</v>
      </c>
      <c r="F40">
        <v>0</v>
      </c>
      <c r="G40">
        <v>0</v>
      </c>
      <c r="H40">
        <v>0</v>
      </c>
      <c r="I40">
        <v>0</v>
      </c>
      <c r="J40">
        <v>0</v>
      </c>
      <c r="K40">
        <v>0</v>
      </c>
    </row>
    <row r="41" spans="1:11" x14ac:dyDescent="0.25">
      <c r="A41" s="126" t="s">
        <v>206</v>
      </c>
    </row>
    <row r="42" spans="1:11" x14ac:dyDescent="0.25">
      <c r="A42" s="121" t="s">
        <v>208</v>
      </c>
      <c r="B42">
        <v>0</v>
      </c>
      <c r="C42">
        <v>0</v>
      </c>
      <c r="D42">
        <v>0</v>
      </c>
      <c r="E42">
        <v>0</v>
      </c>
      <c r="F42">
        <v>0</v>
      </c>
      <c r="G42">
        <v>0</v>
      </c>
      <c r="H42">
        <v>0</v>
      </c>
      <c r="I42">
        <v>0</v>
      </c>
      <c r="J42">
        <v>0</v>
      </c>
      <c r="K42">
        <v>0</v>
      </c>
    </row>
    <row r="43" spans="1:11" x14ac:dyDescent="0.25">
      <c r="A43" s="121" t="s">
        <v>209</v>
      </c>
      <c r="B43">
        <v>0</v>
      </c>
      <c r="C43">
        <v>0</v>
      </c>
      <c r="D43">
        <v>0</v>
      </c>
      <c r="E43">
        <v>0</v>
      </c>
      <c r="F43">
        <v>0</v>
      </c>
      <c r="G43">
        <v>0</v>
      </c>
      <c r="H43">
        <v>0</v>
      </c>
      <c r="I43">
        <v>0</v>
      </c>
      <c r="J43">
        <v>0</v>
      </c>
      <c r="K43">
        <v>0</v>
      </c>
    </row>
    <row r="44" spans="1:11" x14ac:dyDescent="0.25">
      <c r="A44" s="121" t="s">
        <v>210</v>
      </c>
      <c r="B44">
        <v>0</v>
      </c>
      <c r="C44">
        <v>0</v>
      </c>
      <c r="D44">
        <v>0</v>
      </c>
      <c r="E44">
        <v>0</v>
      </c>
      <c r="F44">
        <v>0</v>
      </c>
      <c r="G44">
        <v>0</v>
      </c>
      <c r="H44">
        <v>0</v>
      </c>
      <c r="I44">
        <v>0</v>
      </c>
      <c r="J44">
        <v>0</v>
      </c>
      <c r="K44">
        <v>0</v>
      </c>
    </row>
    <row r="45" spans="1:11" x14ac:dyDescent="0.25">
      <c r="A45" s="121" t="s">
        <v>211</v>
      </c>
      <c r="B45">
        <v>0</v>
      </c>
      <c r="C45">
        <v>0</v>
      </c>
      <c r="D45">
        <v>0</v>
      </c>
      <c r="E45">
        <v>0</v>
      </c>
      <c r="F45">
        <v>0</v>
      </c>
      <c r="G45">
        <v>0</v>
      </c>
      <c r="H45">
        <v>0</v>
      </c>
      <c r="I45">
        <v>0</v>
      </c>
      <c r="J45">
        <v>0</v>
      </c>
      <c r="K45">
        <v>0</v>
      </c>
    </row>
    <row r="46" spans="1:11" x14ac:dyDescent="0.25">
      <c r="A46" s="126" t="s">
        <v>212</v>
      </c>
    </row>
    <row r="47" spans="1:11" x14ac:dyDescent="0.25">
      <c r="A47" s="122" t="s">
        <v>213</v>
      </c>
      <c r="B47">
        <v>0</v>
      </c>
      <c r="C47">
        <v>0</v>
      </c>
      <c r="D47">
        <v>0</v>
      </c>
      <c r="E47">
        <v>0</v>
      </c>
      <c r="F47">
        <v>0</v>
      </c>
      <c r="G47">
        <v>0</v>
      </c>
      <c r="H47">
        <v>0</v>
      </c>
      <c r="I47">
        <v>0</v>
      </c>
      <c r="J47">
        <v>0</v>
      </c>
      <c r="K47">
        <v>0</v>
      </c>
    </row>
    <row r="48" spans="1:11" x14ac:dyDescent="0.25">
      <c r="A48" s="122" t="s">
        <v>214</v>
      </c>
      <c r="B48">
        <v>0</v>
      </c>
      <c r="C48">
        <v>0</v>
      </c>
      <c r="D48">
        <v>0</v>
      </c>
      <c r="E48">
        <v>0</v>
      </c>
      <c r="F48">
        <v>0</v>
      </c>
      <c r="G48">
        <v>4</v>
      </c>
      <c r="H48">
        <v>0</v>
      </c>
      <c r="I48">
        <v>0</v>
      </c>
      <c r="J48">
        <v>0</v>
      </c>
      <c r="K48">
        <v>3</v>
      </c>
    </row>
    <row r="49" spans="1:11" x14ac:dyDescent="0.25">
      <c r="A49" s="122" t="s">
        <v>215</v>
      </c>
      <c r="B49">
        <v>0</v>
      </c>
      <c r="C49">
        <v>0</v>
      </c>
      <c r="D49">
        <v>0</v>
      </c>
      <c r="E49">
        <v>0</v>
      </c>
      <c r="F49">
        <v>0</v>
      </c>
      <c r="G49">
        <v>0</v>
      </c>
      <c r="H49">
        <v>0</v>
      </c>
      <c r="I49">
        <v>0</v>
      </c>
      <c r="J49">
        <v>0</v>
      </c>
      <c r="K49">
        <v>0</v>
      </c>
    </row>
    <row r="50" spans="1:11" x14ac:dyDescent="0.25">
      <c r="A50" s="122" t="s">
        <v>216</v>
      </c>
      <c r="B50">
        <v>0</v>
      </c>
      <c r="C50">
        <v>0</v>
      </c>
      <c r="D50">
        <v>0</v>
      </c>
      <c r="E50">
        <v>0</v>
      </c>
      <c r="F50">
        <v>0</v>
      </c>
      <c r="G50">
        <v>0</v>
      </c>
      <c r="H50">
        <v>0</v>
      </c>
      <c r="I50">
        <v>0</v>
      </c>
      <c r="J50">
        <v>0</v>
      </c>
      <c r="K50">
        <v>10</v>
      </c>
    </row>
    <row r="51" spans="1:11" x14ac:dyDescent="0.25">
      <c r="A51" s="122" t="s">
        <v>217</v>
      </c>
      <c r="B51">
        <v>0</v>
      </c>
      <c r="C51">
        <v>0</v>
      </c>
      <c r="D51">
        <v>0</v>
      </c>
      <c r="E51">
        <v>0</v>
      </c>
      <c r="F51">
        <v>0</v>
      </c>
      <c r="G51">
        <v>0</v>
      </c>
      <c r="H51">
        <v>0</v>
      </c>
      <c r="I51">
        <v>0</v>
      </c>
      <c r="J51">
        <v>0</v>
      </c>
      <c r="K51">
        <v>0</v>
      </c>
    </row>
    <row r="52" spans="1:11" x14ac:dyDescent="0.25">
      <c r="A52" s="126" t="s">
        <v>218</v>
      </c>
    </row>
    <row r="53" spans="1:11" x14ac:dyDescent="0.25">
      <c r="A53" s="123" t="s">
        <v>219</v>
      </c>
      <c r="B53">
        <v>2</v>
      </c>
      <c r="C53">
        <v>2</v>
      </c>
      <c r="D53">
        <v>2</v>
      </c>
      <c r="E53">
        <v>0</v>
      </c>
      <c r="F53">
        <v>1</v>
      </c>
      <c r="G53">
        <v>0</v>
      </c>
      <c r="H53">
        <v>0</v>
      </c>
      <c r="I53">
        <v>0</v>
      </c>
      <c r="J53">
        <v>0</v>
      </c>
      <c r="K53">
        <v>0</v>
      </c>
    </row>
    <row r="54" spans="1:11" x14ac:dyDescent="0.25">
      <c r="A54" s="123" t="s">
        <v>220</v>
      </c>
      <c r="B54">
        <v>4</v>
      </c>
      <c r="C54">
        <v>4</v>
      </c>
      <c r="D54">
        <v>4</v>
      </c>
      <c r="E54">
        <v>0</v>
      </c>
      <c r="F54">
        <v>0</v>
      </c>
      <c r="G54">
        <v>0</v>
      </c>
      <c r="H54">
        <v>0</v>
      </c>
      <c r="I54">
        <v>0</v>
      </c>
      <c r="J54">
        <v>0</v>
      </c>
      <c r="K54">
        <v>0</v>
      </c>
    </row>
    <row r="55" spans="1:11" x14ac:dyDescent="0.25">
      <c r="A55" s="123" t="s">
        <v>221</v>
      </c>
      <c r="B55">
        <v>0</v>
      </c>
      <c r="C55">
        <v>0</v>
      </c>
      <c r="D55">
        <v>0</v>
      </c>
      <c r="E55">
        <v>0</v>
      </c>
      <c r="F55">
        <v>0</v>
      </c>
      <c r="G55">
        <v>0</v>
      </c>
      <c r="H55">
        <v>0</v>
      </c>
      <c r="I55">
        <v>0</v>
      </c>
      <c r="J55">
        <v>0</v>
      </c>
      <c r="K55">
        <v>0</v>
      </c>
    </row>
    <row r="56" spans="1:11" x14ac:dyDescent="0.25">
      <c r="A56" s="123" t="s">
        <v>222</v>
      </c>
      <c r="B56">
        <v>0</v>
      </c>
      <c r="C56">
        <v>0</v>
      </c>
      <c r="D56">
        <v>0</v>
      </c>
      <c r="E56">
        <v>0</v>
      </c>
      <c r="F56">
        <v>0</v>
      </c>
      <c r="G56">
        <v>0</v>
      </c>
      <c r="H56">
        <v>0</v>
      </c>
      <c r="I56">
        <v>0</v>
      </c>
      <c r="J56">
        <v>0</v>
      </c>
      <c r="K56">
        <v>0</v>
      </c>
    </row>
    <row r="57" spans="1:11" x14ac:dyDescent="0.25">
      <c r="A57" s="123" t="s">
        <v>223</v>
      </c>
      <c r="B57">
        <v>0</v>
      </c>
      <c r="C57">
        <v>0</v>
      </c>
      <c r="D57">
        <v>0</v>
      </c>
      <c r="E57">
        <v>0</v>
      </c>
      <c r="F57">
        <v>0</v>
      </c>
      <c r="G57">
        <v>0</v>
      </c>
      <c r="H57">
        <v>0</v>
      </c>
      <c r="I57">
        <v>0</v>
      </c>
      <c r="J57">
        <v>0</v>
      </c>
      <c r="K57">
        <v>0</v>
      </c>
    </row>
    <row r="58" spans="1:11" x14ac:dyDescent="0.25">
      <c r="A58" s="137" t="s">
        <v>224</v>
      </c>
      <c r="B58">
        <v>0</v>
      </c>
      <c r="C58">
        <v>0</v>
      </c>
      <c r="D58">
        <v>0</v>
      </c>
      <c r="E58">
        <v>0</v>
      </c>
      <c r="F58">
        <v>0</v>
      </c>
      <c r="G58">
        <v>0</v>
      </c>
      <c r="H58">
        <v>0</v>
      </c>
      <c r="I58">
        <v>0</v>
      </c>
      <c r="J58">
        <v>0</v>
      </c>
      <c r="K58">
        <v>0</v>
      </c>
    </row>
    <row r="59" spans="1:11" x14ac:dyDescent="0.25">
      <c r="A59" s="137" t="s">
        <v>225</v>
      </c>
      <c r="B59">
        <v>0</v>
      </c>
      <c r="C59">
        <v>0</v>
      </c>
      <c r="D59">
        <v>0</v>
      </c>
      <c r="E59">
        <v>0</v>
      </c>
      <c r="F59">
        <v>0</v>
      </c>
      <c r="G59">
        <v>0</v>
      </c>
      <c r="H59">
        <v>0</v>
      </c>
      <c r="I59">
        <v>0</v>
      </c>
      <c r="J59">
        <v>0</v>
      </c>
      <c r="K59">
        <v>0</v>
      </c>
    </row>
    <row r="60" spans="1:11" x14ac:dyDescent="0.25">
      <c r="A60" s="137" t="s">
        <v>226</v>
      </c>
      <c r="B60">
        <v>0</v>
      </c>
      <c r="C60">
        <v>0</v>
      </c>
      <c r="D60">
        <v>0</v>
      </c>
      <c r="E60">
        <v>0</v>
      </c>
      <c r="F60">
        <v>0</v>
      </c>
      <c r="G60">
        <v>0</v>
      </c>
      <c r="H60">
        <v>0</v>
      </c>
      <c r="I60">
        <v>0</v>
      </c>
      <c r="J60">
        <v>0</v>
      </c>
      <c r="K60">
        <v>0</v>
      </c>
    </row>
    <row r="61" spans="1:11" x14ac:dyDescent="0.25">
      <c r="A61" s="137" t="s">
        <v>227</v>
      </c>
      <c r="B61">
        <v>0</v>
      </c>
      <c r="C61">
        <v>0</v>
      </c>
      <c r="D61">
        <v>0</v>
      </c>
      <c r="E61">
        <v>0</v>
      </c>
      <c r="F61">
        <v>0</v>
      </c>
      <c r="G61">
        <v>0</v>
      </c>
      <c r="H61">
        <v>0</v>
      </c>
      <c r="I61">
        <v>0</v>
      </c>
      <c r="J61">
        <v>0</v>
      </c>
      <c r="K61">
        <v>0</v>
      </c>
    </row>
    <row r="62" spans="1:11" x14ac:dyDescent="0.25">
      <c r="A62" s="137" t="s">
        <v>228</v>
      </c>
      <c r="B62">
        <v>0</v>
      </c>
      <c r="C62">
        <v>0</v>
      </c>
      <c r="D62">
        <v>0</v>
      </c>
      <c r="E62">
        <v>0</v>
      </c>
      <c r="F62">
        <v>0</v>
      </c>
      <c r="G62">
        <v>0</v>
      </c>
      <c r="H62">
        <v>0</v>
      </c>
      <c r="I62">
        <v>0</v>
      </c>
      <c r="J62">
        <v>0</v>
      </c>
      <c r="K62">
        <v>0</v>
      </c>
    </row>
    <row r="63" spans="1:11" x14ac:dyDescent="0.25">
      <c r="A63" s="137" t="s">
        <v>229</v>
      </c>
      <c r="B63">
        <v>0</v>
      </c>
      <c r="C63">
        <v>0</v>
      </c>
      <c r="D63">
        <v>0</v>
      </c>
      <c r="E63">
        <v>0</v>
      </c>
      <c r="F63">
        <v>0</v>
      </c>
      <c r="G63">
        <v>0</v>
      </c>
      <c r="H63">
        <v>0</v>
      </c>
      <c r="I63">
        <v>0</v>
      </c>
      <c r="J63">
        <v>0</v>
      </c>
      <c r="K63">
        <v>0</v>
      </c>
    </row>
    <row r="64" spans="1:11" x14ac:dyDescent="0.25">
      <c r="A64" s="137" t="s">
        <v>230</v>
      </c>
      <c r="B64">
        <v>0</v>
      </c>
      <c r="C64">
        <v>0</v>
      </c>
      <c r="D64">
        <v>0</v>
      </c>
      <c r="E64">
        <v>0</v>
      </c>
      <c r="F64">
        <v>0</v>
      </c>
      <c r="G64">
        <v>0</v>
      </c>
      <c r="H64">
        <v>0</v>
      </c>
      <c r="I64">
        <v>0</v>
      </c>
      <c r="J64">
        <v>0</v>
      </c>
      <c r="K64">
        <v>0</v>
      </c>
    </row>
    <row r="65" spans="1:11" x14ac:dyDescent="0.25">
      <c r="A65" s="126" t="s">
        <v>231</v>
      </c>
    </row>
    <row r="66" spans="1:11" x14ac:dyDescent="0.25">
      <c r="A66" s="123" t="s">
        <v>232</v>
      </c>
      <c r="B66">
        <v>0</v>
      </c>
      <c r="C66">
        <v>0</v>
      </c>
      <c r="D66">
        <v>0</v>
      </c>
      <c r="E66">
        <v>0</v>
      </c>
      <c r="F66">
        <v>0</v>
      </c>
      <c r="G66">
        <v>0</v>
      </c>
      <c r="H66">
        <v>0</v>
      </c>
      <c r="I66">
        <v>0</v>
      </c>
      <c r="J66">
        <v>0</v>
      </c>
      <c r="K66">
        <v>0</v>
      </c>
    </row>
    <row r="67" spans="1:11" x14ac:dyDescent="0.25">
      <c r="A67" s="123" t="s">
        <v>233</v>
      </c>
      <c r="B67">
        <v>0</v>
      </c>
      <c r="C67">
        <v>0</v>
      </c>
      <c r="D67">
        <v>0</v>
      </c>
      <c r="E67">
        <v>0</v>
      </c>
      <c r="F67">
        <v>0</v>
      </c>
      <c r="G67">
        <v>0</v>
      </c>
      <c r="H67">
        <v>0</v>
      </c>
      <c r="I67">
        <v>0</v>
      </c>
      <c r="J67">
        <v>0</v>
      </c>
      <c r="K67">
        <v>0</v>
      </c>
    </row>
    <row r="68" spans="1:11" x14ac:dyDescent="0.25">
      <c r="A68" s="123" t="s">
        <v>234</v>
      </c>
      <c r="B68">
        <v>0</v>
      </c>
      <c r="C68">
        <v>0</v>
      </c>
      <c r="D68">
        <v>0</v>
      </c>
      <c r="E68">
        <v>0</v>
      </c>
      <c r="F68">
        <v>0</v>
      </c>
      <c r="G68">
        <v>0</v>
      </c>
      <c r="H68">
        <v>0</v>
      </c>
      <c r="I68">
        <v>0</v>
      </c>
      <c r="J68">
        <v>0</v>
      </c>
      <c r="K68">
        <v>0</v>
      </c>
    </row>
    <row r="69" spans="1:11" x14ac:dyDescent="0.25">
      <c r="A69" s="123" t="s">
        <v>235</v>
      </c>
      <c r="B69">
        <v>0</v>
      </c>
      <c r="C69">
        <v>0</v>
      </c>
      <c r="D69">
        <v>0</v>
      </c>
      <c r="E69">
        <v>0</v>
      </c>
      <c r="F69">
        <v>0</v>
      </c>
      <c r="G69">
        <v>0</v>
      </c>
      <c r="H69">
        <v>0</v>
      </c>
      <c r="I69">
        <v>0</v>
      </c>
      <c r="J69">
        <v>0</v>
      </c>
      <c r="K69">
        <v>0</v>
      </c>
    </row>
    <row r="70" spans="1:11" x14ac:dyDescent="0.25">
      <c r="A70" s="123" t="s">
        <v>236</v>
      </c>
      <c r="B70">
        <v>0</v>
      </c>
      <c r="C70">
        <v>0</v>
      </c>
      <c r="D70">
        <v>0</v>
      </c>
      <c r="E70">
        <v>0</v>
      </c>
      <c r="F70">
        <v>0</v>
      </c>
      <c r="G70">
        <v>0</v>
      </c>
      <c r="H70">
        <v>0</v>
      </c>
      <c r="I70">
        <v>0</v>
      </c>
      <c r="J70">
        <v>0</v>
      </c>
      <c r="K70">
        <v>0</v>
      </c>
    </row>
    <row r="71" spans="1:11" x14ac:dyDescent="0.25">
      <c r="A71" s="126" t="s">
        <v>197</v>
      </c>
    </row>
    <row r="72" spans="1:11" x14ac:dyDescent="0.25">
      <c r="A72" s="120" t="s">
        <v>238</v>
      </c>
      <c r="B72">
        <v>0</v>
      </c>
      <c r="C72">
        <v>0</v>
      </c>
      <c r="D72">
        <v>0</v>
      </c>
      <c r="E72">
        <v>0</v>
      </c>
      <c r="F72">
        <v>0</v>
      </c>
      <c r="G72">
        <v>0</v>
      </c>
      <c r="H72">
        <v>0</v>
      </c>
      <c r="I72">
        <v>0</v>
      </c>
      <c r="J72">
        <v>0</v>
      </c>
      <c r="K72">
        <v>0</v>
      </c>
    </row>
    <row r="73" spans="1:11" x14ac:dyDescent="0.25">
      <c r="A73" s="120" t="s">
        <v>240</v>
      </c>
      <c r="B73">
        <v>0</v>
      </c>
      <c r="C73">
        <v>0</v>
      </c>
      <c r="D73">
        <v>0</v>
      </c>
      <c r="E73">
        <v>0</v>
      </c>
      <c r="F73">
        <v>0</v>
      </c>
      <c r="G73">
        <v>0</v>
      </c>
      <c r="H73">
        <v>0</v>
      </c>
      <c r="I73">
        <v>0</v>
      </c>
      <c r="J73">
        <v>0</v>
      </c>
      <c r="K73">
        <v>0</v>
      </c>
    </row>
    <row r="74" spans="1:11" x14ac:dyDescent="0.25">
      <c r="A74" s="120" t="s">
        <v>242</v>
      </c>
      <c r="B74">
        <v>0</v>
      </c>
      <c r="C74">
        <v>0</v>
      </c>
      <c r="D74">
        <v>0</v>
      </c>
      <c r="E74">
        <v>0</v>
      </c>
      <c r="F74">
        <v>0</v>
      </c>
      <c r="G74">
        <v>0</v>
      </c>
      <c r="H74">
        <v>0</v>
      </c>
      <c r="I74">
        <v>0</v>
      </c>
      <c r="J74">
        <v>0</v>
      </c>
      <c r="K74">
        <v>0</v>
      </c>
    </row>
    <row r="75" spans="1:11" x14ac:dyDescent="0.25">
      <c r="A75" s="120" t="s">
        <v>244</v>
      </c>
      <c r="B75">
        <v>0</v>
      </c>
      <c r="C75">
        <v>0</v>
      </c>
      <c r="D75">
        <v>0</v>
      </c>
      <c r="E75">
        <v>0</v>
      </c>
      <c r="F75">
        <v>0</v>
      </c>
      <c r="G75">
        <v>0</v>
      </c>
      <c r="H75">
        <v>0</v>
      </c>
      <c r="I75">
        <v>0</v>
      </c>
      <c r="J75">
        <v>0</v>
      </c>
      <c r="K75">
        <v>0</v>
      </c>
    </row>
    <row r="76" spans="1:11" x14ac:dyDescent="0.25">
      <c r="A76" s="126" t="s">
        <v>206</v>
      </c>
    </row>
    <row r="77" spans="1:11" x14ac:dyDescent="0.25">
      <c r="A77" s="121" t="s">
        <v>247</v>
      </c>
      <c r="B77">
        <v>0</v>
      </c>
      <c r="C77">
        <v>0</v>
      </c>
      <c r="D77">
        <v>0</v>
      </c>
      <c r="E77">
        <v>0</v>
      </c>
      <c r="F77">
        <v>0</v>
      </c>
      <c r="G77">
        <v>0</v>
      </c>
      <c r="H77">
        <v>0</v>
      </c>
      <c r="I77">
        <v>0</v>
      </c>
      <c r="J77">
        <v>0</v>
      </c>
      <c r="K77">
        <v>0</v>
      </c>
    </row>
    <row r="78" spans="1:11" x14ac:dyDescent="0.25">
      <c r="A78" s="121" t="s">
        <v>251</v>
      </c>
      <c r="B78">
        <v>0</v>
      </c>
      <c r="C78">
        <v>0</v>
      </c>
      <c r="D78">
        <v>0</v>
      </c>
      <c r="E78">
        <v>0</v>
      </c>
      <c r="F78">
        <v>0</v>
      </c>
      <c r="G78">
        <v>0</v>
      </c>
      <c r="H78">
        <v>0</v>
      </c>
      <c r="I78">
        <v>0</v>
      </c>
      <c r="J78">
        <v>0</v>
      </c>
      <c r="K78">
        <v>0</v>
      </c>
    </row>
    <row r="79" spans="1:11" x14ac:dyDescent="0.25">
      <c r="A79" s="121" t="s">
        <v>253</v>
      </c>
      <c r="B79">
        <v>0</v>
      </c>
      <c r="C79">
        <v>0</v>
      </c>
      <c r="D79">
        <v>0</v>
      </c>
      <c r="E79">
        <v>0</v>
      </c>
      <c r="F79">
        <v>0</v>
      </c>
      <c r="G79">
        <v>0</v>
      </c>
      <c r="H79">
        <v>0</v>
      </c>
      <c r="I79">
        <v>0</v>
      </c>
      <c r="J79">
        <v>0</v>
      </c>
      <c r="K79">
        <v>0</v>
      </c>
    </row>
    <row r="80" spans="1:11" x14ac:dyDescent="0.25">
      <c r="A80" s="121" t="s">
        <v>255</v>
      </c>
      <c r="B80">
        <v>0</v>
      </c>
      <c r="C80">
        <v>0</v>
      </c>
      <c r="D80">
        <v>0</v>
      </c>
      <c r="E80">
        <v>0</v>
      </c>
      <c r="F80">
        <v>0</v>
      </c>
      <c r="G80">
        <v>0</v>
      </c>
      <c r="H80">
        <v>0</v>
      </c>
      <c r="I80">
        <v>0</v>
      </c>
      <c r="J80">
        <v>0</v>
      </c>
      <c r="K80">
        <v>0</v>
      </c>
    </row>
    <row r="81" spans="1:11" x14ac:dyDescent="0.25">
      <c r="A81" s="126" t="s">
        <v>212</v>
      </c>
    </row>
    <row r="82" spans="1:11" x14ac:dyDescent="0.25">
      <c r="A82" s="122" t="s">
        <v>259</v>
      </c>
      <c r="B82">
        <v>0</v>
      </c>
      <c r="C82">
        <v>0</v>
      </c>
      <c r="D82">
        <v>0</v>
      </c>
      <c r="E82">
        <v>0</v>
      </c>
      <c r="F82">
        <v>0</v>
      </c>
      <c r="G82">
        <v>0</v>
      </c>
      <c r="H82">
        <v>10</v>
      </c>
      <c r="I82">
        <v>20</v>
      </c>
      <c r="J82">
        <v>30</v>
      </c>
      <c r="K82">
        <v>0</v>
      </c>
    </row>
    <row r="83" spans="1:11" x14ac:dyDescent="0.25">
      <c r="A83" s="122" t="s">
        <v>260</v>
      </c>
      <c r="B83">
        <v>0</v>
      </c>
      <c r="C83">
        <v>0</v>
      </c>
      <c r="D83">
        <v>0</v>
      </c>
      <c r="E83">
        <v>0</v>
      </c>
      <c r="F83">
        <v>0</v>
      </c>
      <c r="H83">
        <v>0</v>
      </c>
      <c r="I83">
        <v>0</v>
      </c>
      <c r="J83">
        <v>0</v>
      </c>
      <c r="K83">
        <v>3</v>
      </c>
    </row>
    <row r="84" spans="1:11" x14ac:dyDescent="0.25">
      <c r="A84" s="122" t="s">
        <v>261</v>
      </c>
      <c r="B84">
        <v>0</v>
      </c>
      <c r="C84">
        <v>0</v>
      </c>
      <c r="D84">
        <v>0</v>
      </c>
      <c r="E84">
        <v>0</v>
      </c>
      <c r="F84">
        <v>0</v>
      </c>
      <c r="G84">
        <v>0</v>
      </c>
      <c r="H84">
        <v>0</v>
      </c>
      <c r="I84">
        <v>0</v>
      </c>
      <c r="J84">
        <v>0</v>
      </c>
      <c r="K84">
        <v>0</v>
      </c>
    </row>
    <row r="85" spans="1:11" x14ac:dyDescent="0.25">
      <c r="A85" s="122" t="s">
        <v>262</v>
      </c>
      <c r="B85">
        <v>0</v>
      </c>
      <c r="C85">
        <v>0</v>
      </c>
      <c r="D85">
        <v>0</v>
      </c>
      <c r="E85">
        <v>0</v>
      </c>
      <c r="F85">
        <v>0</v>
      </c>
      <c r="G85">
        <v>0</v>
      </c>
      <c r="H85">
        <v>0</v>
      </c>
      <c r="I85">
        <v>0</v>
      </c>
      <c r="J85">
        <v>0</v>
      </c>
      <c r="K85">
        <v>0</v>
      </c>
    </row>
    <row r="86" spans="1:11" x14ac:dyDescent="0.25">
      <c r="A86" s="126" t="s">
        <v>218</v>
      </c>
    </row>
    <row r="87" spans="1:11" x14ac:dyDescent="0.25">
      <c r="A87" s="123" t="s">
        <v>263</v>
      </c>
      <c r="B87">
        <v>0</v>
      </c>
      <c r="C87">
        <v>0</v>
      </c>
      <c r="D87">
        <v>0</v>
      </c>
      <c r="E87">
        <v>0</v>
      </c>
      <c r="F87">
        <v>0</v>
      </c>
      <c r="G87">
        <v>0</v>
      </c>
      <c r="H87">
        <v>0</v>
      </c>
      <c r="I87">
        <v>0</v>
      </c>
      <c r="J87">
        <v>0</v>
      </c>
      <c r="K87">
        <v>0</v>
      </c>
    </row>
    <row r="88" spans="1:11" x14ac:dyDescent="0.25">
      <c r="A88" s="123" t="s">
        <v>264</v>
      </c>
      <c r="B88">
        <v>0</v>
      </c>
      <c r="C88">
        <v>0</v>
      </c>
      <c r="D88">
        <v>0</v>
      </c>
      <c r="E88">
        <v>0</v>
      </c>
      <c r="F88">
        <v>0</v>
      </c>
      <c r="G88">
        <v>0</v>
      </c>
      <c r="H88">
        <v>0</v>
      </c>
      <c r="I88">
        <v>0</v>
      </c>
      <c r="J88">
        <v>0</v>
      </c>
      <c r="K88">
        <v>0</v>
      </c>
    </row>
    <row r="89" spans="1:11" x14ac:dyDescent="0.25">
      <c r="A89" s="123" t="s">
        <v>265</v>
      </c>
      <c r="B89">
        <v>0</v>
      </c>
      <c r="C89">
        <v>0</v>
      </c>
      <c r="D89">
        <v>0</v>
      </c>
      <c r="E89">
        <v>0</v>
      </c>
      <c r="F89">
        <v>0</v>
      </c>
      <c r="G89">
        <v>0</v>
      </c>
      <c r="H89">
        <v>0</v>
      </c>
      <c r="I89">
        <v>0</v>
      </c>
      <c r="J89">
        <v>0</v>
      </c>
      <c r="K89">
        <v>0</v>
      </c>
    </row>
    <row r="90" spans="1:11" x14ac:dyDescent="0.25">
      <c r="A90" s="124" t="s">
        <v>266</v>
      </c>
      <c r="B90">
        <v>0</v>
      </c>
      <c r="C90">
        <v>0</v>
      </c>
      <c r="D90">
        <v>0</v>
      </c>
      <c r="E90">
        <v>0</v>
      </c>
      <c r="F90">
        <v>0</v>
      </c>
      <c r="G90">
        <v>0</v>
      </c>
      <c r="H90">
        <v>0</v>
      </c>
      <c r="I90">
        <v>0</v>
      </c>
      <c r="J90">
        <v>0</v>
      </c>
      <c r="K90">
        <v>0</v>
      </c>
    </row>
    <row r="91" spans="1:11" x14ac:dyDescent="0.25">
      <c r="A91" s="134" t="s">
        <v>346</v>
      </c>
    </row>
    <row r="92" spans="1:11" x14ac:dyDescent="0.25">
      <c r="A92" s="133" t="s">
        <v>268</v>
      </c>
      <c r="B92">
        <v>0</v>
      </c>
      <c r="C92">
        <v>0</v>
      </c>
      <c r="D92">
        <v>0</v>
      </c>
      <c r="E92">
        <v>0</v>
      </c>
      <c r="F92">
        <v>0</v>
      </c>
      <c r="G92">
        <v>0</v>
      </c>
      <c r="H92">
        <v>0</v>
      </c>
      <c r="I92">
        <v>0</v>
      </c>
      <c r="J92">
        <v>0</v>
      </c>
      <c r="K92">
        <v>0</v>
      </c>
    </row>
    <row r="93" spans="1:11" x14ac:dyDescent="0.25">
      <c r="A93" s="133" t="s">
        <v>269</v>
      </c>
      <c r="B93">
        <v>0</v>
      </c>
      <c r="C93">
        <v>0</v>
      </c>
      <c r="D93">
        <v>0</v>
      </c>
      <c r="E93">
        <v>0</v>
      </c>
      <c r="F93">
        <v>0</v>
      </c>
      <c r="G93">
        <v>0</v>
      </c>
      <c r="H93">
        <v>0</v>
      </c>
      <c r="I93">
        <v>0</v>
      </c>
      <c r="J93">
        <v>0</v>
      </c>
      <c r="K93">
        <v>0</v>
      </c>
    </row>
    <row r="94" spans="1:11" x14ac:dyDescent="0.25">
      <c r="A94" s="133" t="s">
        <v>270</v>
      </c>
      <c r="B94">
        <v>0</v>
      </c>
      <c r="C94">
        <v>0</v>
      </c>
      <c r="D94">
        <v>0</v>
      </c>
      <c r="E94">
        <v>0</v>
      </c>
      <c r="F94">
        <v>0</v>
      </c>
      <c r="G94">
        <v>0</v>
      </c>
      <c r="H94">
        <v>0</v>
      </c>
      <c r="I94">
        <v>0</v>
      </c>
      <c r="J94">
        <v>0</v>
      </c>
      <c r="K94">
        <v>0</v>
      </c>
    </row>
    <row r="95" spans="1:11" x14ac:dyDescent="0.25">
      <c r="A95" s="133" t="s">
        <v>271</v>
      </c>
      <c r="B95">
        <v>0</v>
      </c>
      <c r="C95">
        <v>0</v>
      </c>
      <c r="D95">
        <v>0</v>
      </c>
      <c r="E95">
        <v>0</v>
      </c>
      <c r="F95">
        <v>0</v>
      </c>
      <c r="G95">
        <v>0</v>
      </c>
      <c r="H95">
        <v>0</v>
      </c>
      <c r="I95">
        <v>0</v>
      </c>
      <c r="J95">
        <v>0</v>
      </c>
      <c r="K95">
        <v>0</v>
      </c>
    </row>
    <row r="96" spans="1:11" ht="15.75" thickBot="1" x14ac:dyDescent="0.3">
      <c r="A96" s="109" t="s">
        <v>272</v>
      </c>
      <c r="B96">
        <v>0</v>
      </c>
      <c r="C96">
        <v>0</v>
      </c>
      <c r="D96">
        <v>0</v>
      </c>
      <c r="E96">
        <v>0</v>
      </c>
      <c r="F96">
        <v>0</v>
      </c>
      <c r="G96">
        <v>0</v>
      </c>
      <c r="H96">
        <v>0</v>
      </c>
      <c r="I96">
        <v>0</v>
      </c>
      <c r="J96">
        <v>0</v>
      </c>
      <c r="K96">
        <v>0</v>
      </c>
    </row>
    <row r="97" spans="1:11" ht="16.5" thickTop="1" thickBot="1" x14ac:dyDescent="0.3">
      <c r="A97" s="129" t="s">
        <v>274</v>
      </c>
    </row>
    <row r="98" spans="1:11" x14ac:dyDescent="0.25">
      <c r="A98" s="120" t="s">
        <v>275</v>
      </c>
      <c r="B98">
        <v>0</v>
      </c>
      <c r="C98">
        <v>0</v>
      </c>
      <c r="D98">
        <v>0</v>
      </c>
      <c r="E98">
        <v>0</v>
      </c>
      <c r="F98">
        <v>0</v>
      </c>
      <c r="G98">
        <v>0</v>
      </c>
      <c r="H98">
        <v>0</v>
      </c>
      <c r="I98">
        <v>0</v>
      </c>
      <c r="J98">
        <v>0</v>
      </c>
      <c r="K98">
        <v>0</v>
      </c>
    </row>
    <row r="99" spans="1:11" x14ac:dyDescent="0.25">
      <c r="A99" s="120" t="s">
        <v>276</v>
      </c>
      <c r="B99">
        <v>0</v>
      </c>
      <c r="C99">
        <v>0</v>
      </c>
      <c r="D99">
        <v>0</v>
      </c>
      <c r="E99">
        <v>0</v>
      </c>
      <c r="F99">
        <v>0</v>
      </c>
      <c r="G99">
        <v>0</v>
      </c>
      <c r="H99">
        <v>0</v>
      </c>
      <c r="I99">
        <v>0</v>
      </c>
      <c r="J99">
        <v>0</v>
      </c>
      <c r="K99">
        <v>0</v>
      </c>
    </row>
    <row r="100" spans="1:11" x14ac:dyDescent="0.25">
      <c r="A100" s="120" t="s">
        <v>277</v>
      </c>
      <c r="B100">
        <v>0</v>
      </c>
      <c r="C100">
        <v>0</v>
      </c>
      <c r="D100">
        <v>0</v>
      </c>
      <c r="E100">
        <v>0</v>
      </c>
      <c r="F100">
        <v>0</v>
      </c>
      <c r="G100">
        <v>0</v>
      </c>
      <c r="H100">
        <v>0</v>
      </c>
      <c r="I100">
        <v>0</v>
      </c>
      <c r="J100">
        <v>0</v>
      </c>
      <c r="K100">
        <v>0</v>
      </c>
    </row>
    <row r="101" spans="1:11" x14ac:dyDescent="0.25">
      <c r="A101" s="120" t="s">
        <v>278</v>
      </c>
      <c r="B101">
        <v>0</v>
      </c>
      <c r="C101">
        <v>0</v>
      </c>
      <c r="D101">
        <v>0</v>
      </c>
      <c r="E101">
        <v>0</v>
      </c>
      <c r="F101">
        <v>0</v>
      </c>
      <c r="G101">
        <v>0</v>
      </c>
      <c r="H101">
        <v>0</v>
      </c>
      <c r="I101">
        <v>0</v>
      </c>
      <c r="J101">
        <v>0</v>
      </c>
      <c r="K101">
        <v>0</v>
      </c>
    </row>
    <row r="102" spans="1:11" x14ac:dyDescent="0.25">
      <c r="A102" s="120" t="s">
        <v>279</v>
      </c>
      <c r="B102">
        <v>0</v>
      </c>
      <c r="C102">
        <v>0</v>
      </c>
      <c r="D102">
        <v>0</v>
      </c>
      <c r="E102">
        <v>0</v>
      </c>
      <c r="F102">
        <v>0</v>
      </c>
      <c r="G102">
        <v>0</v>
      </c>
      <c r="H102">
        <v>0</v>
      </c>
      <c r="I102">
        <v>0</v>
      </c>
      <c r="J102">
        <v>0</v>
      </c>
      <c r="K102">
        <v>0</v>
      </c>
    </row>
    <row r="103" spans="1:11" x14ac:dyDescent="0.25">
      <c r="A103" s="127" t="s">
        <v>280</v>
      </c>
    </row>
    <row r="104" spans="1:11" x14ac:dyDescent="0.25">
      <c r="A104" s="121" t="s">
        <v>281</v>
      </c>
      <c r="B104">
        <v>0</v>
      </c>
      <c r="C104">
        <v>0</v>
      </c>
      <c r="D104">
        <v>0</v>
      </c>
      <c r="E104">
        <v>0</v>
      </c>
      <c r="F104">
        <v>0</v>
      </c>
      <c r="G104">
        <v>0</v>
      </c>
      <c r="H104">
        <v>0</v>
      </c>
      <c r="I104">
        <v>0</v>
      </c>
      <c r="J104">
        <v>0</v>
      </c>
      <c r="K104">
        <v>0</v>
      </c>
    </row>
    <row r="105" spans="1:11" x14ac:dyDescent="0.25">
      <c r="A105" s="121" t="s">
        <v>282</v>
      </c>
      <c r="B105">
        <v>0</v>
      </c>
      <c r="C105">
        <v>0</v>
      </c>
      <c r="D105">
        <v>0</v>
      </c>
      <c r="E105">
        <v>0</v>
      </c>
      <c r="F105">
        <v>0</v>
      </c>
      <c r="G105">
        <v>0</v>
      </c>
      <c r="H105">
        <v>0</v>
      </c>
      <c r="I105">
        <v>0</v>
      </c>
      <c r="J105">
        <v>0</v>
      </c>
      <c r="K105">
        <v>0</v>
      </c>
    </row>
    <row r="106" spans="1:11" x14ac:dyDescent="0.25">
      <c r="A106" s="121" t="s">
        <v>283</v>
      </c>
      <c r="B106">
        <v>0</v>
      </c>
      <c r="C106">
        <v>0</v>
      </c>
      <c r="D106">
        <v>0</v>
      </c>
      <c r="E106">
        <v>0</v>
      </c>
      <c r="F106">
        <v>0</v>
      </c>
      <c r="G106">
        <v>0</v>
      </c>
      <c r="H106">
        <v>0</v>
      </c>
      <c r="I106">
        <v>0</v>
      </c>
      <c r="J106">
        <v>0</v>
      </c>
      <c r="K106">
        <v>0</v>
      </c>
    </row>
    <row r="107" spans="1:11" x14ac:dyDescent="0.25">
      <c r="A107" s="121" t="s">
        <v>284</v>
      </c>
      <c r="B107">
        <v>0</v>
      </c>
      <c r="C107">
        <v>0</v>
      </c>
      <c r="D107">
        <v>0</v>
      </c>
      <c r="E107">
        <v>0</v>
      </c>
      <c r="F107">
        <v>0</v>
      </c>
      <c r="G107">
        <v>0</v>
      </c>
      <c r="H107">
        <v>0</v>
      </c>
      <c r="I107">
        <v>0</v>
      </c>
      <c r="J107">
        <v>0</v>
      </c>
      <c r="K107">
        <v>0</v>
      </c>
    </row>
    <row r="108" spans="1:11" x14ac:dyDescent="0.25">
      <c r="A108" s="121" t="s">
        <v>285</v>
      </c>
      <c r="B108">
        <v>0</v>
      </c>
      <c r="C108">
        <v>0</v>
      </c>
      <c r="D108">
        <v>0</v>
      </c>
      <c r="E108">
        <v>0</v>
      </c>
      <c r="F108">
        <v>0</v>
      </c>
      <c r="G108">
        <v>0</v>
      </c>
      <c r="H108">
        <v>0</v>
      </c>
      <c r="I108">
        <v>0</v>
      </c>
      <c r="J108">
        <v>0</v>
      </c>
      <c r="K108">
        <v>0</v>
      </c>
    </row>
    <row r="109" spans="1:11" x14ac:dyDescent="0.25">
      <c r="A109" s="127" t="s">
        <v>286</v>
      </c>
    </row>
    <row r="110" spans="1:11" x14ac:dyDescent="0.25">
      <c r="A110" s="122" t="s">
        <v>287</v>
      </c>
      <c r="B110">
        <v>0</v>
      </c>
      <c r="C110">
        <v>0</v>
      </c>
      <c r="D110">
        <v>0</v>
      </c>
      <c r="E110">
        <v>0</v>
      </c>
      <c r="F110">
        <v>0</v>
      </c>
      <c r="G110">
        <v>0</v>
      </c>
      <c r="H110">
        <v>0</v>
      </c>
      <c r="I110">
        <v>0</v>
      </c>
      <c r="J110">
        <v>0</v>
      </c>
      <c r="K110">
        <v>0</v>
      </c>
    </row>
    <row r="111" spans="1:11" x14ac:dyDescent="0.25">
      <c r="A111" s="122" t="s">
        <v>288</v>
      </c>
      <c r="B111">
        <v>0</v>
      </c>
      <c r="C111">
        <v>0</v>
      </c>
      <c r="D111">
        <v>0</v>
      </c>
      <c r="E111">
        <v>0</v>
      </c>
      <c r="F111">
        <v>0</v>
      </c>
      <c r="G111">
        <v>0</v>
      </c>
      <c r="H111">
        <v>0</v>
      </c>
      <c r="I111">
        <v>0</v>
      </c>
      <c r="J111">
        <v>0</v>
      </c>
      <c r="K111">
        <v>0</v>
      </c>
    </row>
    <row r="112" spans="1:11" x14ac:dyDescent="0.25">
      <c r="A112" s="122" t="s">
        <v>289</v>
      </c>
      <c r="B112">
        <v>0</v>
      </c>
      <c r="C112">
        <v>0</v>
      </c>
      <c r="D112">
        <v>0</v>
      </c>
      <c r="E112">
        <v>0</v>
      </c>
      <c r="F112">
        <v>0</v>
      </c>
      <c r="G112">
        <v>0</v>
      </c>
      <c r="H112">
        <v>0</v>
      </c>
      <c r="I112">
        <v>0</v>
      </c>
      <c r="J112">
        <v>0</v>
      </c>
      <c r="K112">
        <v>0</v>
      </c>
    </row>
    <row r="113" spans="1:11" x14ac:dyDescent="0.25">
      <c r="A113" s="122" t="s">
        <v>290</v>
      </c>
      <c r="B113">
        <v>0</v>
      </c>
      <c r="C113">
        <v>0</v>
      </c>
      <c r="D113">
        <v>0</v>
      </c>
      <c r="E113">
        <v>0</v>
      </c>
      <c r="F113">
        <v>0</v>
      </c>
      <c r="G113">
        <v>0</v>
      </c>
      <c r="H113">
        <v>0</v>
      </c>
      <c r="I113">
        <v>0</v>
      </c>
      <c r="J113">
        <v>0</v>
      </c>
      <c r="K113">
        <v>0</v>
      </c>
    </row>
    <row r="114" spans="1:11" x14ac:dyDescent="0.25">
      <c r="A114" s="122" t="s">
        <v>291</v>
      </c>
      <c r="B114">
        <v>0</v>
      </c>
      <c r="C114">
        <v>0</v>
      </c>
      <c r="D114">
        <v>0</v>
      </c>
      <c r="E114">
        <v>0</v>
      </c>
      <c r="F114">
        <v>0</v>
      </c>
      <c r="G114">
        <v>0</v>
      </c>
      <c r="H114">
        <v>0</v>
      </c>
      <c r="I114">
        <v>0</v>
      </c>
      <c r="J114">
        <v>0</v>
      </c>
      <c r="K114">
        <v>0</v>
      </c>
    </row>
    <row r="115" spans="1:11" ht="15.75" thickBot="1" x14ac:dyDescent="0.3">
      <c r="A115" s="128" t="s">
        <v>292</v>
      </c>
      <c r="B115">
        <v>0</v>
      </c>
      <c r="C115">
        <v>0</v>
      </c>
      <c r="D115">
        <v>0</v>
      </c>
      <c r="E115">
        <v>0</v>
      </c>
      <c r="F115">
        <v>0</v>
      </c>
      <c r="G115">
        <v>0</v>
      </c>
      <c r="H115">
        <v>0</v>
      </c>
      <c r="I115">
        <v>0</v>
      </c>
      <c r="J115">
        <v>0</v>
      </c>
      <c r="K115">
        <v>0</v>
      </c>
    </row>
    <row r="116" spans="1:11" ht="15.75" thickTop="1" x14ac:dyDescent="0.25">
      <c r="A116" s="127" t="s">
        <v>293</v>
      </c>
    </row>
    <row r="117" spans="1:11" x14ac:dyDescent="0.25">
      <c r="A117" s="133" t="s">
        <v>295</v>
      </c>
      <c r="B117">
        <v>0</v>
      </c>
      <c r="C117">
        <v>0</v>
      </c>
      <c r="D117">
        <v>0</v>
      </c>
      <c r="E117">
        <v>0</v>
      </c>
      <c r="F117">
        <v>0</v>
      </c>
      <c r="G117">
        <v>0</v>
      </c>
      <c r="H117">
        <v>0</v>
      </c>
      <c r="I117">
        <v>0</v>
      </c>
      <c r="J117">
        <v>0</v>
      </c>
      <c r="K117">
        <v>0</v>
      </c>
    </row>
    <row r="118" spans="1:11" x14ac:dyDescent="0.25">
      <c r="A118" s="133" t="s">
        <v>297</v>
      </c>
      <c r="B118">
        <v>0</v>
      </c>
      <c r="C118">
        <v>0</v>
      </c>
      <c r="D118">
        <v>0</v>
      </c>
      <c r="E118">
        <v>0</v>
      </c>
      <c r="F118">
        <v>0</v>
      </c>
      <c r="G118">
        <v>0</v>
      </c>
      <c r="H118">
        <v>0</v>
      </c>
      <c r="I118">
        <v>0</v>
      </c>
      <c r="J118">
        <v>0</v>
      </c>
      <c r="K118">
        <v>0</v>
      </c>
    </row>
    <row r="119" spans="1:11" x14ac:dyDescent="0.25">
      <c r="A119" s="133" t="s">
        <v>298</v>
      </c>
      <c r="B119">
        <v>0</v>
      </c>
      <c r="C119">
        <v>0</v>
      </c>
      <c r="D119">
        <v>0</v>
      </c>
      <c r="E119">
        <v>0</v>
      </c>
      <c r="F119">
        <v>0</v>
      </c>
      <c r="G119">
        <v>0</v>
      </c>
      <c r="H119">
        <v>0</v>
      </c>
      <c r="I119">
        <v>0</v>
      </c>
      <c r="J119">
        <v>0</v>
      </c>
      <c r="K119">
        <v>0</v>
      </c>
    </row>
    <row r="120" spans="1:11" x14ac:dyDescent="0.25">
      <c r="A120" s="127" t="s">
        <v>299</v>
      </c>
    </row>
    <row r="121" spans="1:11" x14ac:dyDescent="0.25">
      <c r="A121" s="135" t="s">
        <v>300</v>
      </c>
      <c r="B121">
        <v>0</v>
      </c>
      <c r="C121">
        <v>0</v>
      </c>
      <c r="D121">
        <v>0</v>
      </c>
      <c r="E121">
        <v>0</v>
      </c>
      <c r="F121">
        <v>0</v>
      </c>
      <c r="G121">
        <v>0</v>
      </c>
      <c r="H121">
        <v>0</v>
      </c>
      <c r="I121">
        <v>0</v>
      </c>
      <c r="J121">
        <v>0</v>
      </c>
      <c r="K121">
        <v>0</v>
      </c>
    </row>
    <row r="122" spans="1:11" x14ac:dyDescent="0.25">
      <c r="A122" s="135" t="s">
        <v>301</v>
      </c>
      <c r="B122">
        <v>0</v>
      </c>
      <c r="C122">
        <v>0</v>
      </c>
      <c r="D122">
        <v>0</v>
      </c>
      <c r="E122">
        <v>0</v>
      </c>
      <c r="F122">
        <v>0</v>
      </c>
      <c r="G122">
        <v>0</v>
      </c>
      <c r="H122">
        <v>0</v>
      </c>
      <c r="I122">
        <v>0</v>
      </c>
      <c r="J122">
        <v>0</v>
      </c>
      <c r="K122">
        <v>0</v>
      </c>
    </row>
    <row r="123" spans="1:11" x14ac:dyDescent="0.25">
      <c r="A123" s="135" t="s">
        <v>302</v>
      </c>
      <c r="B123">
        <v>0</v>
      </c>
      <c r="C123">
        <v>0</v>
      </c>
      <c r="D123">
        <v>0</v>
      </c>
      <c r="E123">
        <v>0</v>
      </c>
      <c r="F123">
        <v>0</v>
      </c>
      <c r="G123">
        <v>0</v>
      </c>
      <c r="H123">
        <v>0</v>
      </c>
      <c r="I123">
        <v>0</v>
      </c>
      <c r="J123">
        <v>0</v>
      </c>
      <c r="K123">
        <v>0</v>
      </c>
    </row>
    <row r="124" spans="1:11" x14ac:dyDescent="0.25">
      <c r="A124" s="135" t="s">
        <v>303</v>
      </c>
      <c r="B124">
        <v>0</v>
      </c>
      <c r="C124">
        <v>0</v>
      </c>
      <c r="D124">
        <v>0</v>
      </c>
      <c r="E124">
        <v>0</v>
      </c>
      <c r="F124">
        <v>0</v>
      </c>
      <c r="G124">
        <v>0</v>
      </c>
      <c r="H124">
        <v>0</v>
      </c>
      <c r="I124">
        <v>0</v>
      </c>
      <c r="J124">
        <v>0</v>
      </c>
      <c r="K124">
        <v>0</v>
      </c>
    </row>
    <row r="125" spans="1:11" x14ac:dyDescent="0.25">
      <c r="A125" s="127" t="s">
        <v>299</v>
      </c>
    </row>
    <row r="126" spans="1:11" x14ac:dyDescent="0.25">
      <c r="A126" s="136" t="s">
        <v>709</v>
      </c>
      <c r="B126">
        <v>0</v>
      </c>
      <c r="C126">
        <v>0</v>
      </c>
      <c r="D126">
        <v>0</v>
      </c>
      <c r="E126">
        <v>0</v>
      </c>
      <c r="F126">
        <v>0</v>
      </c>
      <c r="G126">
        <v>0</v>
      </c>
      <c r="H126">
        <v>0</v>
      </c>
      <c r="I126">
        <v>0</v>
      </c>
      <c r="J126">
        <v>0</v>
      </c>
      <c r="K126">
        <v>0</v>
      </c>
    </row>
    <row r="127" spans="1:11" x14ac:dyDescent="0.25">
      <c r="A127" s="136" t="s">
        <v>710</v>
      </c>
      <c r="B127">
        <v>0</v>
      </c>
      <c r="C127">
        <v>0</v>
      </c>
      <c r="D127">
        <v>0</v>
      </c>
      <c r="E127">
        <v>0</v>
      </c>
      <c r="F127">
        <v>0</v>
      </c>
      <c r="G127">
        <v>0</v>
      </c>
      <c r="H127">
        <v>0</v>
      </c>
      <c r="I127">
        <v>0</v>
      </c>
      <c r="J127">
        <v>0</v>
      </c>
      <c r="K127">
        <v>0</v>
      </c>
    </row>
    <row r="128" spans="1:11" x14ac:dyDescent="0.25">
      <c r="A128" s="127" t="s">
        <v>304</v>
      </c>
    </row>
    <row r="129" spans="1:11" x14ac:dyDescent="0.25">
      <c r="A129" s="136" t="s">
        <v>305</v>
      </c>
      <c r="B129">
        <v>0</v>
      </c>
      <c r="C129">
        <v>0</v>
      </c>
      <c r="D129">
        <v>0</v>
      </c>
      <c r="E129">
        <v>0</v>
      </c>
      <c r="F129">
        <v>0</v>
      </c>
      <c r="G129">
        <v>0</v>
      </c>
      <c r="H129">
        <v>0</v>
      </c>
      <c r="I129">
        <v>0</v>
      </c>
      <c r="J129">
        <v>0</v>
      </c>
      <c r="K129">
        <v>0</v>
      </c>
    </row>
    <row r="130" spans="1:11" x14ac:dyDescent="0.25">
      <c r="A130" s="136" t="s">
        <v>307</v>
      </c>
      <c r="B130">
        <v>0</v>
      </c>
      <c r="C130">
        <v>0</v>
      </c>
      <c r="D130">
        <v>0</v>
      </c>
      <c r="E130">
        <v>0</v>
      </c>
      <c r="F130">
        <v>0</v>
      </c>
      <c r="G130">
        <v>0</v>
      </c>
      <c r="H130">
        <v>0</v>
      </c>
      <c r="I130">
        <v>0</v>
      </c>
      <c r="J130">
        <v>0</v>
      </c>
      <c r="K130">
        <v>0</v>
      </c>
    </row>
    <row r="131" spans="1:11" x14ac:dyDescent="0.25">
      <c r="A131" s="136" t="s">
        <v>309</v>
      </c>
      <c r="B131">
        <v>0</v>
      </c>
      <c r="C131">
        <v>0</v>
      </c>
      <c r="D131">
        <v>0</v>
      </c>
      <c r="E131">
        <v>0</v>
      </c>
      <c r="F131">
        <v>0</v>
      </c>
      <c r="G131">
        <v>0</v>
      </c>
      <c r="H131">
        <v>0</v>
      </c>
      <c r="I131">
        <v>0</v>
      </c>
      <c r="J131">
        <v>0</v>
      </c>
      <c r="K131">
        <v>0</v>
      </c>
    </row>
    <row r="132" spans="1:11" x14ac:dyDescent="0.25">
      <c r="A132" s="136" t="s">
        <v>312</v>
      </c>
      <c r="B132">
        <v>0</v>
      </c>
      <c r="C132">
        <v>0</v>
      </c>
      <c r="D132">
        <v>0</v>
      </c>
      <c r="E132">
        <v>0</v>
      </c>
      <c r="F132">
        <v>0</v>
      </c>
      <c r="G132">
        <v>0</v>
      </c>
      <c r="H132">
        <v>0</v>
      </c>
      <c r="I132">
        <v>0</v>
      </c>
      <c r="J132">
        <v>0</v>
      </c>
      <c r="K132">
        <v>0</v>
      </c>
    </row>
    <row r="133" spans="1:11" x14ac:dyDescent="0.25">
      <c r="A133" s="122" t="s">
        <v>590</v>
      </c>
      <c r="B133">
        <f>SUM(B13:B115)</f>
        <v>72</v>
      </c>
      <c r="C133">
        <f t="shared" ref="C133:K133" si="0">SUM(C13:C115)</f>
        <v>144</v>
      </c>
      <c r="D133">
        <f t="shared" si="0"/>
        <v>269</v>
      </c>
      <c r="E133">
        <f t="shared" si="0"/>
        <v>0</v>
      </c>
      <c r="F133">
        <f t="shared" si="0"/>
        <v>1</v>
      </c>
      <c r="H133">
        <f t="shared" si="0"/>
        <v>10</v>
      </c>
      <c r="I133">
        <f t="shared" ref="I133:J133" si="1">SUM(I13:I115)</f>
        <v>20</v>
      </c>
      <c r="J133">
        <f t="shared" si="1"/>
        <v>30</v>
      </c>
      <c r="K133">
        <f t="shared" si="0"/>
        <v>16</v>
      </c>
    </row>
    <row r="134" spans="1:11" x14ac:dyDescent="0.25">
      <c r="F134">
        <f>SUM(G13:G115)</f>
        <v>4</v>
      </c>
    </row>
  </sheetData>
  <dataValidations disablePrompts="1" count="5">
    <dataValidation type="list" allowBlank="1" showInputMessage="1" showErrorMessage="1" promptTitle="Select VM Size" prompt="Select an available VM size for this Workload." sqref="A90" xr:uid="{00000000-0002-0000-0B00-000000000000}">
      <formula1>$M$148:$M$169</formula1>
    </dataValidation>
    <dataValidation type="list" allowBlank="1" showInputMessage="1" showErrorMessage="1" promptTitle="Select VM Size" prompt="Select an available VM size for this Workload." sqref="A47:A51 A65:A70 A53:A57 A72:A80 A82:A85 A87:A89" xr:uid="{00000000-0002-0000-0B00-000001000000}">
      <formula1>$M$149:$M$170</formula1>
    </dataValidation>
    <dataValidation type="list" allowBlank="1" showInputMessage="1" showErrorMessage="1" promptTitle="Select VM Size" prompt="Select an available VM size for this Workload." sqref="A20:A27 A42:A45 A37:A40 A14:A18" xr:uid="{00000000-0002-0000-0B00-000002000000}">
      <formula1>$M$150:$M$171</formula1>
    </dataValidation>
    <dataValidation type="list" allowBlank="1" showInputMessage="1" showErrorMessage="1" promptTitle="Select VM Size" prompt="Select an available VM size for this Workload." sqref="A66:A70" xr:uid="{3088DE09-4D8E-4BEB-92FA-2B0DA183E380}">
      <formula1>$N$172:$N$234</formula1>
    </dataValidation>
    <dataValidation type="list" allowBlank="1" showInputMessage="1" showErrorMessage="1" promptTitle="Select VM Size" prompt="Select an available VM size for this Workload." sqref="A92:A95" xr:uid="{ED872F38-CEA9-4D08-B8A1-3750B1A49F2D}">
      <formula1>$N$174:$N$293</formula1>
    </dataValidation>
  </dataValidations>
  <hyperlinks>
    <hyperlink ref="A103" r:id="rId1" location="fs-series" xr:uid="{00000000-0004-0000-0B00-000001000000}"/>
    <hyperlink ref="A109" r:id="rId2" location="fsv2-series" xr:uid="{00000000-0004-0000-0B00-000002000000}"/>
    <hyperlink ref="A3" r:id="rId3" xr:uid="{00000000-0004-0000-0B00-000003000000}"/>
    <hyperlink ref="A97" r:id="rId4" location="f-series" xr:uid="{00000000-0004-0000-0B00-000000000000}"/>
  </hyperlinks>
  <pageMargins left="0.7" right="0.7" top="0.75" bottom="0.75" header="0.3" footer="0.3"/>
  <pageSetup orientation="portrait" r:id="rId5"/>
  <cellWatches>
    <cellWatch r="B21"/>
  </cellWatch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AL73"/>
  <sheetViews>
    <sheetView topLeftCell="B1" workbookViewId="0">
      <selection activeCell="D5" sqref="D5"/>
    </sheetView>
  </sheetViews>
  <sheetFormatPr defaultColWidth="8.85546875" defaultRowHeight="15" x14ac:dyDescent="0.25"/>
  <cols>
    <col min="1" max="1" width="15.42578125" customWidth="1"/>
    <col min="2" max="2" width="21.42578125" customWidth="1"/>
    <col min="3" max="3" width="25" customWidth="1"/>
  </cols>
  <sheetData>
    <row r="1" spans="1:38" ht="15.75" x14ac:dyDescent="0.25">
      <c r="A1" t="s">
        <v>591</v>
      </c>
      <c r="B1" t="s">
        <v>592</v>
      </c>
      <c r="C1" t="s">
        <v>593</v>
      </c>
      <c r="D1" s="119">
        <f>MAX(D2:D18)</f>
        <v>4</v>
      </c>
      <c r="E1" s="119">
        <f t="shared" ref="E1:AD1" si="0">MAX(E2:E18)</f>
        <v>7</v>
      </c>
      <c r="F1" s="119">
        <f t="shared" si="0"/>
        <v>8</v>
      </c>
      <c r="G1" s="119">
        <f t="shared" si="0"/>
        <v>10</v>
      </c>
      <c r="H1" s="119">
        <f t="shared" si="0"/>
        <v>14</v>
      </c>
      <c r="I1" s="119">
        <f t="shared" si="0"/>
        <v>16</v>
      </c>
      <c r="J1" s="119">
        <f t="shared" si="0"/>
        <v>20</v>
      </c>
      <c r="K1" s="119">
        <f t="shared" si="0"/>
        <v>28</v>
      </c>
      <c r="L1" s="119">
        <f t="shared" si="0"/>
        <v>32</v>
      </c>
      <c r="M1" s="119">
        <f t="shared" si="0"/>
        <v>40</v>
      </c>
      <c r="N1" s="119">
        <f t="shared" si="0"/>
        <v>50</v>
      </c>
      <c r="O1" s="119">
        <f t="shared" si="0"/>
        <v>56</v>
      </c>
      <c r="P1" s="119">
        <f t="shared" si="0"/>
        <v>64</v>
      </c>
      <c r="Q1" s="119">
        <f t="shared" si="0"/>
        <v>70</v>
      </c>
      <c r="R1" s="119">
        <f t="shared" si="0"/>
        <v>80</v>
      </c>
      <c r="S1" s="119">
        <f t="shared" si="0"/>
        <v>100</v>
      </c>
      <c r="T1" s="119">
        <f t="shared" si="0"/>
        <v>112</v>
      </c>
      <c r="U1" s="119">
        <f t="shared" si="0"/>
        <v>128</v>
      </c>
      <c r="V1" s="119">
        <f t="shared" si="0"/>
        <v>135</v>
      </c>
      <c r="W1" s="119">
        <f t="shared" si="0"/>
        <v>200</v>
      </c>
      <c r="X1" s="119">
        <f t="shared" si="0"/>
        <v>224</v>
      </c>
      <c r="Y1" s="119">
        <f t="shared" si="0"/>
        <v>256</v>
      </c>
      <c r="Z1" s="119">
        <f t="shared" si="0"/>
        <v>285</v>
      </c>
      <c r="AA1" s="119">
        <f t="shared" si="0"/>
        <v>400</v>
      </c>
      <c r="AB1" s="119">
        <f t="shared" si="0"/>
        <v>512</v>
      </c>
      <c r="AC1" s="119">
        <f t="shared" si="0"/>
        <v>605</v>
      </c>
      <c r="AD1" s="119">
        <f t="shared" si="0"/>
        <v>800</v>
      </c>
      <c r="AE1" s="119"/>
      <c r="AF1" s="119"/>
      <c r="AG1" s="119"/>
      <c r="AH1" s="119"/>
      <c r="AI1" s="119"/>
      <c r="AJ1" s="119"/>
      <c r="AK1" s="119">
        <f t="shared" ref="AK1:AL1" si="1">MAX(AK2:AK12)</f>
        <v>0</v>
      </c>
      <c r="AL1" s="119">
        <f t="shared" si="1"/>
        <v>0</v>
      </c>
    </row>
    <row r="2" spans="1:38" x14ac:dyDescent="0.25">
      <c r="A2">
        <v>20</v>
      </c>
      <c r="B2">
        <v>20</v>
      </c>
      <c r="C2">
        <v>4</v>
      </c>
      <c r="D2">
        <v>1</v>
      </c>
      <c r="E2">
        <v>1</v>
      </c>
      <c r="F2">
        <v>1</v>
      </c>
      <c r="G2">
        <v>1</v>
      </c>
      <c r="H2">
        <v>2</v>
      </c>
      <c r="I2">
        <v>2</v>
      </c>
      <c r="J2">
        <v>4</v>
      </c>
      <c r="K2">
        <v>4</v>
      </c>
      <c r="L2">
        <v>4</v>
      </c>
      <c r="M2">
        <v>5</v>
      </c>
      <c r="N2">
        <v>5</v>
      </c>
      <c r="O2">
        <v>8</v>
      </c>
      <c r="P2">
        <v>8</v>
      </c>
      <c r="Q2">
        <v>10</v>
      </c>
      <c r="R2">
        <v>10</v>
      </c>
      <c r="S2">
        <v>10</v>
      </c>
      <c r="T2">
        <v>16</v>
      </c>
      <c r="U2">
        <v>16</v>
      </c>
      <c r="V2">
        <v>15</v>
      </c>
      <c r="W2">
        <v>15</v>
      </c>
      <c r="X2">
        <v>32</v>
      </c>
      <c r="Y2">
        <v>32</v>
      </c>
      <c r="Z2">
        <v>19</v>
      </c>
      <c r="AA2">
        <v>40</v>
      </c>
      <c r="AB2">
        <v>64</v>
      </c>
      <c r="AC2">
        <v>55</v>
      </c>
      <c r="AD2">
        <v>100</v>
      </c>
    </row>
    <row r="3" spans="1:38" x14ac:dyDescent="0.25">
      <c r="A3">
        <v>70</v>
      </c>
      <c r="B3">
        <v>70</v>
      </c>
      <c r="C3">
        <v>7</v>
      </c>
      <c r="D3">
        <v>2</v>
      </c>
      <c r="E3">
        <v>2</v>
      </c>
      <c r="F3">
        <v>2</v>
      </c>
      <c r="G3">
        <v>2</v>
      </c>
      <c r="H3">
        <v>4</v>
      </c>
      <c r="I3">
        <v>4</v>
      </c>
      <c r="J3">
        <v>8</v>
      </c>
      <c r="K3">
        <v>8</v>
      </c>
      <c r="L3">
        <v>8</v>
      </c>
      <c r="M3">
        <v>10</v>
      </c>
      <c r="N3">
        <v>10</v>
      </c>
      <c r="O3">
        <v>16</v>
      </c>
      <c r="P3">
        <v>16</v>
      </c>
      <c r="Q3">
        <v>20</v>
      </c>
      <c r="R3">
        <v>20</v>
      </c>
      <c r="S3">
        <v>20</v>
      </c>
      <c r="T3">
        <v>32</v>
      </c>
      <c r="U3">
        <v>32</v>
      </c>
      <c r="V3">
        <v>30</v>
      </c>
      <c r="W3">
        <v>30</v>
      </c>
      <c r="X3">
        <v>64</v>
      </c>
      <c r="Y3">
        <v>64</v>
      </c>
      <c r="Z3">
        <v>38</v>
      </c>
      <c r="AA3">
        <v>80</v>
      </c>
      <c r="AB3">
        <v>128</v>
      </c>
      <c r="AC3">
        <v>110</v>
      </c>
      <c r="AD3">
        <v>200</v>
      </c>
    </row>
    <row r="4" spans="1:38" x14ac:dyDescent="0.25">
      <c r="A4">
        <v>135</v>
      </c>
      <c r="B4">
        <v>135</v>
      </c>
      <c r="C4">
        <v>8</v>
      </c>
      <c r="D4">
        <v>3</v>
      </c>
      <c r="E4">
        <v>3</v>
      </c>
      <c r="F4">
        <v>3</v>
      </c>
      <c r="G4">
        <v>3</v>
      </c>
      <c r="H4">
        <v>6</v>
      </c>
      <c r="I4">
        <v>6</v>
      </c>
      <c r="J4">
        <v>12</v>
      </c>
      <c r="K4">
        <v>12</v>
      </c>
      <c r="L4">
        <v>12</v>
      </c>
      <c r="M4">
        <v>15</v>
      </c>
      <c r="N4">
        <v>15</v>
      </c>
      <c r="O4">
        <v>24</v>
      </c>
      <c r="P4">
        <v>24</v>
      </c>
      <c r="Q4">
        <v>30</v>
      </c>
      <c r="R4">
        <v>30</v>
      </c>
      <c r="S4">
        <v>30</v>
      </c>
      <c r="T4">
        <v>48</v>
      </c>
      <c r="U4">
        <v>48</v>
      </c>
      <c r="V4">
        <v>45</v>
      </c>
      <c r="W4">
        <v>45</v>
      </c>
      <c r="X4">
        <v>96</v>
      </c>
      <c r="Y4">
        <v>96</v>
      </c>
      <c r="Z4">
        <v>57</v>
      </c>
      <c r="AA4">
        <v>120</v>
      </c>
      <c r="AB4">
        <v>192</v>
      </c>
      <c r="AC4">
        <v>165</v>
      </c>
      <c r="AD4">
        <v>300</v>
      </c>
    </row>
    <row r="5" spans="1:38" x14ac:dyDescent="0.25">
      <c r="A5">
        <v>285</v>
      </c>
      <c r="B5">
        <v>285</v>
      </c>
      <c r="C5">
        <v>10</v>
      </c>
      <c r="D5">
        <v>4</v>
      </c>
      <c r="E5">
        <v>4</v>
      </c>
      <c r="F5">
        <v>4</v>
      </c>
      <c r="G5">
        <v>4</v>
      </c>
      <c r="H5">
        <v>8</v>
      </c>
      <c r="I5">
        <v>8</v>
      </c>
      <c r="J5">
        <v>16</v>
      </c>
      <c r="K5">
        <v>16</v>
      </c>
      <c r="L5">
        <v>16</v>
      </c>
      <c r="M5">
        <v>20</v>
      </c>
      <c r="N5">
        <v>20</v>
      </c>
      <c r="O5">
        <v>32</v>
      </c>
      <c r="P5">
        <v>32</v>
      </c>
      <c r="Q5">
        <v>40</v>
      </c>
      <c r="R5">
        <v>40</v>
      </c>
      <c r="S5">
        <v>40</v>
      </c>
      <c r="T5">
        <v>64</v>
      </c>
      <c r="U5">
        <v>64</v>
      </c>
      <c r="V5">
        <v>60</v>
      </c>
      <c r="W5">
        <v>60</v>
      </c>
      <c r="X5">
        <v>128</v>
      </c>
      <c r="Y5">
        <v>128</v>
      </c>
      <c r="Z5">
        <v>76</v>
      </c>
      <c r="AA5">
        <v>160</v>
      </c>
      <c r="AB5">
        <v>256</v>
      </c>
      <c r="AC5">
        <v>220</v>
      </c>
      <c r="AD5">
        <v>400</v>
      </c>
    </row>
    <row r="6" spans="1:38" x14ac:dyDescent="0.25">
      <c r="A6">
        <v>605</v>
      </c>
      <c r="B6">
        <v>605</v>
      </c>
      <c r="C6">
        <v>14</v>
      </c>
      <c r="E6">
        <v>5</v>
      </c>
      <c r="F6">
        <v>5</v>
      </c>
      <c r="G6">
        <v>5</v>
      </c>
      <c r="H6">
        <v>10</v>
      </c>
      <c r="I6">
        <v>10</v>
      </c>
      <c r="J6">
        <v>20</v>
      </c>
      <c r="K6">
        <v>20</v>
      </c>
      <c r="L6">
        <v>20</v>
      </c>
      <c r="M6">
        <v>25</v>
      </c>
      <c r="N6">
        <v>25</v>
      </c>
      <c r="O6">
        <v>40</v>
      </c>
      <c r="P6">
        <v>40</v>
      </c>
      <c r="Q6">
        <v>50</v>
      </c>
      <c r="R6">
        <v>50</v>
      </c>
      <c r="S6">
        <v>50</v>
      </c>
      <c r="T6">
        <v>80</v>
      </c>
      <c r="U6">
        <v>80</v>
      </c>
      <c r="V6">
        <v>75</v>
      </c>
      <c r="W6">
        <v>75</v>
      </c>
      <c r="X6">
        <v>160</v>
      </c>
      <c r="Y6">
        <v>160</v>
      </c>
      <c r="Z6">
        <v>95</v>
      </c>
      <c r="AA6">
        <v>200</v>
      </c>
      <c r="AB6">
        <v>320</v>
      </c>
      <c r="AC6">
        <v>275</v>
      </c>
      <c r="AD6">
        <v>500</v>
      </c>
    </row>
    <row r="7" spans="1:38" x14ac:dyDescent="0.25">
      <c r="A7">
        <v>20</v>
      </c>
      <c r="B7">
        <v>20</v>
      </c>
      <c r="C7">
        <v>16</v>
      </c>
      <c r="E7">
        <v>6</v>
      </c>
      <c r="F7">
        <v>6</v>
      </c>
      <c r="G7">
        <v>6</v>
      </c>
      <c r="H7">
        <v>12</v>
      </c>
      <c r="I7">
        <v>12</v>
      </c>
      <c r="K7">
        <v>24</v>
      </c>
      <c r="L7">
        <v>24</v>
      </c>
      <c r="M7">
        <v>30</v>
      </c>
      <c r="N7">
        <v>30</v>
      </c>
      <c r="O7">
        <v>48</v>
      </c>
      <c r="P7">
        <v>48</v>
      </c>
      <c r="Q7">
        <v>60</v>
      </c>
      <c r="R7">
        <v>60</v>
      </c>
      <c r="S7">
        <v>60</v>
      </c>
      <c r="T7">
        <v>96</v>
      </c>
      <c r="U7">
        <v>96</v>
      </c>
      <c r="V7">
        <v>90</v>
      </c>
      <c r="W7">
        <v>90</v>
      </c>
      <c r="X7">
        <v>192</v>
      </c>
      <c r="Y7">
        <v>192</v>
      </c>
      <c r="Z7">
        <v>114</v>
      </c>
      <c r="AA7">
        <v>240</v>
      </c>
      <c r="AB7">
        <v>384</v>
      </c>
      <c r="AC7">
        <v>330</v>
      </c>
      <c r="AD7">
        <v>600</v>
      </c>
    </row>
    <row r="8" spans="1:38" x14ac:dyDescent="0.25">
      <c r="A8">
        <v>70</v>
      </c>
      <c r="B8">
        <v>70</v>
      </c>
      <c r="C8">
        <v>20</v>
      </c>
      <c r="E8">
        <v>7</v>
      </c>
      <c r="F8">
        <v>7</v>
      </c>
      <c r="G8">
        <v>7</v>
      </c>
      <c r="H8">
        <v>14</v>
      </c>
      <c r="I8">
        <v>14</v>
      </c>
      <c r="K8">
        <v>28</v>
      </c>
      <c r="L8">
        <v>28</v>
      </c>
      <c r="M8">
        <v>35</v>
      </c>
      <c r="N8">
        <v>35</v>
      </c>
      <c r="O8">
        <v>56</v>
      </c>
      <c r="P8">
        <v>56</v>
      </c>
      <c r="Q8">
        <v>70</v>
      </c>
      <c r="R8">
        <v>70</v>
      </c>
      <c r="S8">
        <v>70</v>
      </c>
      <c r="T8">
        <v>112</v>
      </c>
      <c r="U8">
        <v>112</v>
      </c>
      <c r="V8">
        <v>105</v>
      </c>
      <c r="W8">
        <v>105</v>
      </c>
      <c r="X8">
        <v>224</v>
      </c>
      <c r="Y8">
        <v>224</v>
      </c>
      <c r="Z8">
        <v>133</v>
      </c>
      <c r="AA8">
        <v>280</v>
      </c>
      <c r="AB8">
        <v>448</v>
      </c>
      <c r="AC8">
        <v>385</v>
      </c>
      <c r="AD8">
        <v>700</v>
      </c>
    </row>
    <row r="9" spans="1:38" x14ac:dyDescent="0.25">
      <c r="A9">
        <v>135</v>
      </c>
      <c r="B9">
        <v>135</v>
      </c>
      <c r="C9">
        <v>28</v>
      </c>
      <c r="F9">
        <v>8</v>
      </c>
      <c r="G9">
        <v>8</v>
      </c>
      <c r="I9">
        <v>16</v>
      </c>
      <c r="L9">
        <v>32</v>
      </c>
      <c r="M9">
        <v>40</v>
      </c>
      <c r="N9">
        <v>40</v>
      </c>
      <c r="P9">
        <v>64</v>
      </c>
      <c r="R9">
        <v>80</v>
      </c>
      <c r="S9">
        <v>80</v>
      </c>
      <c r="U9">
        <v>128</v>
      </c>
      <c r="V9">
        <v>120</v>
      </c>
      <c r="W9">
        <v>200</v>
      </c>
      <c r="Y9">
        <v>256</v>
      </c>
      <c r="Z9">
        <v>152</v>
      </c>
      <c r="AA9">
        <v>320</v>
      </c>
      <c r="AB9">
        <v>512</v>
      </c>
      <c r="AC9">
        <v>440</v>
      </c>
      <c r="AD9">
        <v>800</v>
      </c>
    </row>
    <row r="10" spans="1:38" x14ac:dyDescent="0.25">
      <c r="A10">
        <v>285</v>
      </c>
      <c r="B10">
        <v>285</v>
      </c>
      <c r="C10">
        <v>32</v>
      </c>
      <c r="G10">
        <v>9</v>
      </c>
      <c r="N10">
        <v>45</v>
      </c>
      <c r="S10">
        <v>90</v>
      </c>
      <c r="V10">
        <v>135</v>
      </c>
      <c r="Z10">
        <v>171</v>
      </c>
      <c r="AA10">
        <v>360</v>
      </c>
      <c r="AC10">
        <v>495</v>
      </c>
    </row>
    <row r="11" spans="1:38" x14ac:dyDescent="0.25">
      <c r="A11">
        <v>605</v>
      </c>
      <c r="B11">
        <v>605</v>
      </c>
      <c r="C11">
        <v>40</v>
      </c>
      <c r="G11">
        <v>10</v>
      </c>
      <c r="N11">
        <v>50</v>
      </c>
      <c r="S11">
        <v>100</v>
      </c>
      <c r="Z11">
        <v>190</v>
      </c>
      <c r="AA11">
        <v>400</v>
      </c>
      <c r="AC11">
        <v>550</v>
      </c>
    </row>
    <row r="12" spans="1:38" x14ac:dyDescent="0.25">
      <c r="A12">
        <v>135</v>
      </c>
      <c r="B12">
        <v>135</v>
      </c>
      <c r="C12">
        <v>50</v>
      </c>
      <c r="Z12">
        <v>209</v>
      </c>
      <c r="AC12">
        <v>605</v>
      </c>
    </row>
    <row r="13" spans="1:38" x14ac:dyDescent="0.25">
      <c r="A13">
        <v>285</v>
      </c>
      <c r="B13">
        <v>285</v>
      </c>
      <c r="C13">
        <v>56</v>
      </c>
      <c r="Z13">
        <v>228</v>
      </c>
    </row>
    <row r="14" spans="1:38" x14ac:dyDescent="0.25">
      <c r="A14">
        <v>605</v>
      </c>
      <c r="B14">
        <v>605</v>
      </c>
      <c r="C14">
        <v>64</v>
      </c>
      <c r="Z14">
        <v>247</v>
      </c>
    </row>
    <row r="15" spans="1:38" x14ac:dyDescent="0.25">
      <c r="A15">
        <v>10</v>
      </c>
      <c r="B15">
        <v>10</v>
      </c>
      <c r="C15">
        <v>70</v>
      </c>
      <c r="Z15">
        <v>266</v>
      </c>
    </row>
    <row r="16" spans="1:38" x14ac:dyDescent="0.25">
      <c r="A16">
        <v>20</v>
      </c>
      <c r="B16">
        <v>20</v>
      </c>
      <c r="C16">
        <v>80</v>
      </c>
      <c r="Z16">
        <v>285</v>
      </c>
    </row>
    <row r="17" spans="1:3" x14ac:dyDescent="0.25">
      <c r="A17">
        <v>40</v>
      </c>
      <c r="B17">
        <v>40</v>
      </c>
      <c r="C17">
        <v>100</v>
      </c>
    </row>
    <row r="18" spans="1:3" x14ac:dyDescent="0.25">
      <c r="A18">
        <v>80</v>
      </c>
      <c r="B18">
        <v>80</v>
      </c>
      <c r="C18">
        <v>112</v>
      </c>
    </row>
    <row r="19" spans="1:3" x14ac:dyDescent="0.25">
      <c r="A19">
        <v>20</v>
      </c>
      <c r="B19">
        <v>20</v>
      </c>
      <c r="C19">
        <v>128</v>
      </c>
    </row>
    <row r="20" spans="1:3" x14ac:dyDescent="0.25">
      <c r="A20">
        <v>40</v>
      </c>
      <c r="B20">
        <v>40</v>
      </c>
      <c r="C20">
        <v>135</v>
      </c>
    </row>
    <row r="21" spans="1:3" x14ac:dyDescent="0.25">
      <c r="A21">
        <v>80</v>
      </c>
      <c r="B21">
        <v>80</v>
      </c>
      <c r="C21">
        <v>200</v>
      </c>
    </row>
    <row r="22" spans="1:3" x14ac:dyDescent="0.25">
      <c r="A22">
        <v>50</v>
      </c>
      <c r="B22">
        <v>50</v>
      </c>
      <c r="C22">
        <v>224</v>
      </c>
    </row>
    <row r="23" spans="1:3" x14ac:dyDescent="0.25">
      <c r="A23">
        <v>100</v>
      </c>
      <c r="B23">
        <v>100</v>
      </c>
      <c r="C23">
        <v>256</v>
      </c>
    </row>
    <row r="24" spans="1:3" x14ac:dyDescent="0.25">
      <c r="A24">
        <v>200</v>
      </c>
      <c r="B24">
        <v>200</v>
      </c>
      <c r="C24">
        <v>285</v>
      </c>
    </row>
    <row r="25" spans="1:3" x14ac:dyDescent="0.25">
      <c r="A25">
        <v>400</v>
      </c>
      <c r="B25">
        <v>400</v>
      </c>
      <c r="C25">
        <v>400</v>
      </c>
    </row>
    <row r="26" spans="1:3" x14ac:dyDescent="0.25">
      <c r="A26">
        <v>7</v>
      </c>
      <c r="B26">
        <v>7</v>
      </c>
      <c r="C26">
        <v>512</v>
      </c>
    </row>
    <row r="27" spans="1:3" x14ac:dyDescent="0.25">
      <c r="A27">
        <v>14</v>
      </c>
      <c r="B27">
        <v>14</v>
      </c>
      <c r="C27">
        <v>605</v>
      </c>
    </row>
    <row r="28" spans="1:3" x14ac:dyDescent="0.25">
      <c r="A28">
        <v>28</v>
      </c>
      <c r="B28">
        <v>28</v>
      </c>
      <c r="C28">
        <v>800</v>
      </c>
    </row>
    <row r="29" spans="1:3" x14ac:dyDescent="0.25">
      <c r="A29">
        <v>56</v>
      </c>
      <c r="B29">
        <v>56</v>
      </c>
    </row>
    <row r="30" spans="1:3" x14ac:dyDescent="0.25">
      <c r="A30">
        <v>50</v>
      </c>
      <c r="B30">
        <v>50</v>
      </c>
    </row>
    <row r="31" spans="1:3" x14ac:dyDescent="0.25">
      <c r="A31">
        <v>100</v>
      </c>
      <c r="B31">
        <v>100</v>
      </c>
    </row>
    <row r="32" spans="1:3" x14ac:dyDescent="0.25">
      <c r="A32">
        <v>200</v>
      </c>
      <c r="B32">
        <v>200</v>
      </c>
    </row>
    <row r="33" spans="1:2" x14ac:dyDescent="0.25">
      <c r="A33">
        <v>400</v>
      </c>
      <c r="B33">
        <v>400</v>
      </c>
    </row>
    <row r="34" spans="1:2" x14ac:dyDescent="0.25">
      <c r="A34">
        <v>800</v>
      </c>
      <c r="B34">
        <v>800</v>
      </c>
    </row>
    <row r="35" spans="1:2" x14ac:dyDescent="0.25">
      <c r="A35">
        <v>7</v>
      </c>
      <c r="B35">
        <v>7</v>
      </c>
    </row>
    <row r="36" spans="1:2" x14ac:dyDescent="0.25">
      <c r="A36">
        <v>14</v>
      </c>
      <c r="B36">
        <v>14</v>
      </c>
    </row>
    <row r="37" spans="1:2" x14ac:dyDescent="0.25">
      <c r="A37">
        <v>28</v>
      </c>
      <c r="B37">
        <v>28</v>
      </c>
    </row>
    <row r="38" spans="1:2" x14ac:dyDescent="0.25">
      <c r="A38">
        <v>56</v>
      </c>
      <c r="B38">
        <v>56</v>
      </c>
    </row>
    <row r="39" spans="1:2" x14ac:dyDescent="0.25">
      <c r="A39">
        <v>112</v>
      </c>
      <c r="B39">
        <v>112</v>
      </c>
    </row>
    <row r="41" spans="1:2" x14ac:dyDescent="0.25">
      <c r="A41">
        <v>100</v>
      </c>
      <c r="B41">
        <v>100</v>
      </c>
    </row>
    <row r="42" spans="1:2" x14ac:dyDescent="0.25">
      <c r="A42">
        <v>200</v>
      </c>
      <c r="B42">
        <v>200</v>
      </c>
    </row>
    <row r="43" spans="1:2" x14ac:dyDescent="0.25">
      <c r="A43">
        <v>400</v>
      </c>
      <c r="B43">
        <v>400</v>
      </c>
    </row>
    <row r="44" spans="1:2" x14ac:dyDescent="0.25">
      <c r="A44">
        <v>800</v>
      </c>
      <c r="B44">
        <v>800</v>
      </c>
    </row>
    <row r="45" spans="1:2" x14ac:dyDescent="0.25">
      <c r="A45">
        <v>28</v>
      </c>
      <c r="B45">
        <v>28</v>
      </c>
    </row>
    <row r="46" spans="1:2" x14ac:dyDescent="0.25">
      <c r="A46">
        <v>56</v>
      </c>
      <c r="B46">
        <v>56</v>
      </c>
    </row>
    <row r="47" spans="1:2" x14ac:dyDescent="0.25">
      <c r="A47">
        <v>112</v>
      </c>
      <c r="B47">
        <v>112</v>
      </c>
    </row>
    <row r="48" spans="1:2" x14ac:dyDescent="0.25">
      <c r="A48">
        <v>224</v>
      </c>
      <c r="B48">
        <v>224</v>
      </c>
    </row>
    <row r="49" spans="1:2" x14ac:dyDescent="0.25">
      <c r="A49">
        <v>100</v>
      </c>
      <c r="B49">
        <v>100</v>
      </c>
    </row>
    <row r="50" spans="1:2" x14ac:dyDescent="0.25">
      <c r="A50">
        <v>200</v>
      </c>
      <c r="B50">
        <v>200</v>
      </c>
    </row>
    <row r="51" spans="1:2" x14ac:dyDescent="0.25">
      <c r="A51">
        <v>400</v>
      </c>
      <c r="B51">
        <v>400</v>
      </c>
    </row>
    <row r="52" spans="1:2" x14ac:dyDescent="0.25">
      <c r="A52">
        <v>800</v>
      </c>
      <c r="B52">
        <v>800</v>
      </c>
    </row>
    <row r="53" spans="1:2" x14ac:dyDescent="0.25">
      <c r="A53">
        <v>28</v>
      </c>
      <c r="B53">
        <v>28</v>
      </c>
    </row>
    <row r="54" spans="1:2" x14ac:dyDescent="0.25">
      <c r="A54">
        <v>56</v>
      </c>
      <c r="B54">
        <v>56</v>
      </c>
    </row>
    <row r="55" spans="1:2" x14ac:dyDescent="0.25">
      <c r="A55">
        <v>112</v>
      </c>
      <c r="B55">
        <v>112</v>
      </c>
    </row>
    <row r="56" spans="1:2" x14ac:dyDescent="0.25">
      <c r="A56">
        <v>224</v>
      </c>
      <c r="B56">
        <v>224</v>
      </c>
    </row>
    <row r="58" spans="1:2" x14ac:dyDescent="0.25">
      <c r="A58">
        <v>16</v>
      </c>
      <c r="B58">
        <v>16</v>
      </c>
    </row>
    <row r="59" spans="1:2" x14ac:dyDescent="0.25">
      <c r="A59">
        <v>32</v>
      </c>
      <c r="B59">
        <v>32</v>
      </c>
    </row>
    <row r="60" spans="1:2" x14ac:dyDescent="0.25">
      <c r="A60">
        <v>64</v>
      </c>
      <c r="B60">
        <v>64</v>
      </c>
    </row>
    <row r="61" spans="1:2" x14ac:dyDescent="0.25">
      <c r="A61">
        <v>4</v>
      </c>
      <c r="B61">
        <v>4</v>
      </c>
    </row>
    <row r="62" spans="1:2" x14ac:dyDescent="0.25">
      <c r="A62">
        <v>256</v>
      </c>
      <c r="B62">
        <v>256</v>
      </c>
    </row>
    <row r="63" spans="1:2" x14ac:dyDescent="0.25">
      <c r="A63">
        <v>4</v>
      </c>
      <c r="B63">
        <v>4</v>
      </c>
    </row>
    <row r="64" spans="1:2" x14ac:dyDescent="0.25">
      <c r="A64">
        <v>8</v>
      </c>
      <c r="B64">
        <v>8</v>
      </c>
    </row>
    <row r="65" spans="1:2" x14ac:dyDescent="0.25">
      <c r="A65">
        <v>16</v>
      </c>
      <c r="B65">
        <v>16</v>
      </c>
    </row>
    <row r="66" spans="1:2" x14ac:dyDescent="0.25">
      <c r="A66">
        <v>32</v>
      </c>
      <c r="B66">
        <v>32</v>
      </c>
    </row>
    <row r="67" spans="1:2" x14ac:dyDescent="0.25">
      <c r="A67">
        <v>64</v>
      </c>
      <c r="B67">
        <v>64</v>
      </c>
    </row>
    <row r="68" spans="1:2" x14ac:dyDescent="0.25">
      <c r="A68">
        <v>16</v>
      </c>
      <c r="B68">
        <v>16</v>
      </c>
    </row>
    <row r="69" spans="1:2" x14ac:dyDescent="0.25">
      <c r="A69">
        <v>32</v>
      </c>
      <c r="B69">
        <v>32</v>
      </c>
    </row>
    <row r="70" spans="1:2" x14ac:dyDescent="0.25">
      <c r="A70">
        <v>64</v>
      </c>
      <c r="B70">
        <v>64</v>
      </c>
    </row>
    <row r="71" spans="1:2" x14ac:dyDescent="0.25">
      <c r="A71">
        <v>128</v>
      </c>
      <c r="B71">
        <v>128</v>
      </c>
    </row>
    <row r="72" spans="1:2" x14ac:dyDescent="0.25">
      <c r="A72">
        <v>256</v>
      </c>
      <c r="B72">
        <v>256</v>
      </c>
    </row>
    <row r="73" spans="1:2" x14ac:dyDescent="0.25">
      <c r="A73">
        <v>512</v>
      </c>
      <c r="B73">
        <v>512</v>
      </c>
    </row>
  </sheetData>
  <sortState xmlns:xlrd2="http://schemas.microsoft.com/office/spreadsheetml/2017/richdata2" ref="C2:C30">
    <sortCondition ref="C2:C30"/>
  </sortState>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F14"/>
  <sheetViews>
    <sheetView workbookViewId="0">
      <selection activeCell="E11" sqref="E11"/>
    </sheetView>
  </sheetViews>
  <sheetFormatPr defaultColWidth="8.85546875" defaultRowHeight="15" x14ac:dyDescent="0.25"/>
  <cols>
    <col min="1" max="1" width="14.5703125" bestFit="1" customWidth="1"/>
    <col min="2" max="2" width="21" bestFit="1" customWidth="1"/>
    <col min="3" max="3" width="16.85546875" bestFit="1" customWidth="1"/>
    <col min="4" max="4" width="23" bestFit="1" customWidth="1"/>
    <col min="5" max="5" width="19.42578125" customWidth="1"/>
    <col min="6" max="6" width="23.42578125" customWidth="1"/>
  </cols>
  <sheetData>
    <row r="1" spans="1:6" x14ac:dyDescent="0.25">
      <c r="A1" s="17" t="s">
        <v>81</v>
      </c>
      <c r="B1" s="17" t="s">
        <v>82</v>
      </c>
      <c r="C1" s="17" t="s">
        <v>85</v>
      </c>
      <c r="D1" s="17" t="s">
        <v>86</v>
      </c>
      <c r="E1" s="132" t="s">
        <v>594</v>
      </c>
      <c r="F1" s="132" t="s">
        <v>595</v>
      </c>
    </row>
    <row r="2" spans="1:6" x14ac:dyDescent="0.25">
      <c r="A2">
        <v>0</v>
      </c>
      <c r="B2">
        <v>0</v>
      </c>
      <c r="C2">
        <v>4</v>
      </c>
      <c r="D2">
        <v>800</v>
      </c>
      <c r="E2" t="s">
        <v>77</v>
      </c>
      <c r="F2" s="131" t="s">
        <v>78</v>
      </c>
    </row>
    <row r="3" spans="1:6" x14ac:dyDescent="0.25">
      <c r="A3">
        <v>2</v>
      </c>
      <c r="B3">
        <v>400</v>
      </c>
      <c r="C3">
        <v>6</v>
      </c>
      <c r="D3">
        <v>960</v>
      </c>
      <c r="E3" s="131" t="s">
        <v>78</v>
      </c>
      <c r="F3" s="131" t="s">
        <v>79</v>
      </c>
    </row>
    <row r="4" spans="1:6" x14ac:dyDescent="0.25">
      <c r="A4">
        <v>3</v>
      </c>
      <c r="B4" s="27">
        <v>800</v>
      </c>
      <c r="C4" s="27">
        <v>8</v>
      </c>
      <c r="D4">
        <v>1600</v>
      </c>
      <c r="E4" s="131" t="s">
        <v>79</v>
      </c>
      <c r="F4" s="131" t="s">
        <v>80</v>
      </c>
    </row>
    <row r="5" spans="1:6" x14ac:dyDescent="0.25">
      <c r="A5" s="27">
        <v>4</v>
      </c>
      <c r="B5">
        <v>960</v>
      </c>
      <c r="C5">
        <v>9</v>
      </c>
      <c r="D5">
        <v>2000</v>
      </c>
      <c r="E5" s="131" t="s">
        <v>80</v>
      </c>
      <c r="F5" s="131" t="s">
        <v>596</v>
      </c>
    </row>
    <row r="6" spans="1:6" x14ac:dyDescent="0.25">
      <c r="A6">
        <v>6</v>
      </c>
      <c r="B6">
        <v>1600</v>
      </c>
      <c r="C6">
        <v>10</v>
      </c>
      <c r="D6">
        <v>1920</v>
      </c>
      <c r="E6" s="130"/>
      <c r="F6" s="131" t="s">
        <v>84</v>
      </c>
    </row>
    <row r="7" spans="1:6" x14ac:dyDescent="0.25">
      <c r="A7">
        <v>8</v>
      </c>
      <c r="B7">
        <v>1920</v>
      </c>
      <c r="C7">
        <v>12</v>
      </c>
      <c r="D7">
        <v>3840</v>
      </c>
    </row>
    <row r="8" spans="1:6" x14ac:dyDescent="0.25">
      <c r="B8">
        <v>3840</v>
      </c>
      <c r="C8">
        <v>16</v>
      </c>
      <c r="D8" s="27">
        <v>4000</v>
      </c>
    </row>
    <row r="9" spans="1:6" x14ac:dyDescent="0.25">
      <c r="C9">
        <v>18</v>
      </c>
      <c r="D9">
        <v>6000</v>
      </c>
    </row>
    <row r="10" spans="1:6" x14ac:dyDescent="0.25">
      <c r="C10">
        <v>20</v>
      </c>
      <c r="D10">
        <v>7680</v>
      </c>
    </row>
    <row r="11" spans="1:6" x14ac:dyDescent="0.25">
      <c r="C11">
        <v>22</v>
      </c>
      <c r="D11">
        <v>8000</v>
      </c>
    </row>
    <row r="12" spans="1:6" x14ac:dyDescent="0.25">
      <c r="C12">
        <v>24</v>
      </c>
      <c r="D12">
        <v>10000</v>
      </c>
    </row>
    <row r="13" spans="1:6" x14ac:dyDescent="0.25">
      <c r="D13">
        <v>12000</v>
      </c>
    </row>
    <row r="14" spans="1:6" x14ac:dyDescent="0.25">
      <c r="E14" s="130"/>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H76"/>
  <sheetViews>
    <sheetView topLeftCell="A51" workbookViewId="0">
      <selection activeCell="A77" sqref="A77"/>
    </sheetView>
  </sheetViews>
  <sheetFormatPr defaultColWidth="8.85546875" defaultRowHeight="15" x14ac:dyDescent="0.25"/>
  <cols>
    <col min="2" max="2" width="13" customWidth="1"/>
    <col min="3" max="3" width="25.42578125" customWidth="1"/>
  </cols>
  <sheetData>
    <row r="1" spans="1:8" x14ac:dyDescent="0.25">
      <c r="A1" s="27" t="s">
        <v>597</v>
      </c>
      <c r="B1" s="27" t="s">
        <v>598</v>
      </c>
      <c r="C1" s="27" t="s">
        <v>599</v>
      </c>
      <c r="D1" s="27"/>
      <c r="E1" s="27"/>
      <c r="F1" s="27"/>
      <c r="G1" s="27"/>
      <c r="H1" s="27"/>
    </row>
    <row r="2" spans="1:8" x14ac:dyDescent="0.25">
      <c r="A2">
        <v>1804.01</v>
      </c>
      <c r="C2" t="s">
        <v>600</v>
      </c>
    </row>
    <row r="3" spans="1:8" x14ac:dyDescent="0.25">
      <c r="C3" t="s">
        <v>601</v>
      </c>
    </row>
    <row r="4" spans="1:8" x14ac:dyDescent="0.25">
      <c r="C4" t="s">
        <v>602</v>
      </c>
    </row>
    <row r="5" spans="1:8" x14ac:dyDescent="0.25">
      <c r="A5">
        <v>1805.01</v>
      </c>
      <c r="B5" s="125">
        <v>43258</v>
      </c>
      <c r="C5" t="s">
        <v>603</v>
      </c>
    </row>
    <row r="6" spans="1:8" x14ac:dyDescent="0.25">
      <c r="C6" t="s">
        <v>604</v>
      </c>
    </row>
    <row r="7" spans="1:8" x14ac:dyDescent="0.25">
      <c r="C7" t="s">
        <v>605</v>
      </c>
    </row>
    <row r="8" spans="1:8" x14ac:dyDescent="0.25">
      <c r="C8" t="s">
        <v>602</v>
      </c>
    </row>
    <row r="9" spans="1:8" x14ac:dyDescent="0.25">
      <c r="A9">
        <v>1807.01</v>
      </c>
      <c r="B9" s="125">
        <v>43312</v>
      </c>
      <c r="C9" t="s">
        <v>606</v>
      </c>
      <c r="D9" t="s">
        <v>607</v>
      </c>
    </row>
    <row r="10" spans="1:8" x14ac:dyDescent="0.25">
      <c r="C10" t="s">
        <v>608</v>
      </c>
      <c r="D10" t="s">
        <v>609</v>
      </c>
    </row>
    <row r="11" spans="1:8" x14ac:dyDescent="0.25">
      <c r="C11" t="s">
        <v>610</v>
      </c>
      <c r="D11" t="s">
        <v>611</v>
      </c>
    </row>
    <row r="12" spans="1:8" x14ac:dyDescent="0.25">
      <c r="C12" t="s">
        <v>612</v>
      </c>
      <c r="D12" t="s">
        <v>611</v>
      </c>
    </row>
    <row r="13" spans="1:8" x14ac:dyDescent="0.25">
      <c r="C13" t="s">
        <v>613</v>
      </c>
      <c r="D13" t="s">
        <v>611</v>
      </c>
    </row>
    <row r="14" spans="1:8" x14ac:dyDescent="0.25">
      <c r="C14" t="s">
        <v>614</v>
      </c>
      <c r="D14" t="s">
        <v>611</v>
      </c>
    </row>
    <row r="15" spans="1:8" x14ac:dyDescent="0.25">
      <c r="A15">
        <v>1808.01</v>
      </c>
      <c r="C15" t="s">
        <v>615</v>
      </c>
    </row>
    <row r="17" spans="1:3" x14ac:dyDescent="0.25">
      <c r="A17">
        <v>1809.01</v>
      </c>
    </row>
    <row r="19" spans="1:3" x14ac:dyDescent="0.25">
      <c r="A19">
        <v>1810.01</v>
      </c>
      <c r="C19" t="s">
        <v>616</v>
      </c>
    </row>
    <row r="20" spans="1:3" x14ac:dyDescent="0.25">
      <c r="C20" t="s">
        <v>617</v>
      </c>
    </row>
    <row r="21" spans="1:3" x14ac:dyDescent="0.25">
      <c r="C21" t="s">
        <v>618</v>
      </c>
    </row>
    <row r="23" spans="1:3" x14ac:dyDescent="0.25">
      <c r="A23">
        <v>1910.01</v>
      </c>
      <c r="C23" t="s">
        <v>619</v>
      </c>
    </row>
    <row r="25" spans="1:3" x14ac:dyDescent="0.25">
      <c r="A25">
        <v>2005.01</v>
      </c>
      <c r="C25" t="s">
        <v>620</v>
      </c>
    </row>
    <row r="27" spans="1:3" x14ac:dyDescent="0.25">
      <c r="A27">
        <v>2008.01</v>
      </c>
      <c r="B27" s="197">
        <v>44258</v>
      </c>
      <c r="C27" t="s">
        <v>621</v>
      </c>
    </row>
    <row r="28" spans="1:3" x14ac:dyDescent="0.25">
      <c r="C28" t="s">
        <v>622</v>
      </c>
    </row>
    <row r="29" spans="1:3" x14ac:dyDescent="0.25">
      <c r="C29" t="s">
        <v>623</v>
      </c>
    </row>
    <row r="30" spans="1:3" x14ac:dyDescent="0.25">
      <c r="C30" t="s">
        <v>624</v>
      </c>
    </row>
    <row r="31" spans="1:3" x14ac:dyDescent="0.25">
      <c r="C31" t="s">
        <v>625</v>
      </c>
    </row>
    <row r="32" spans="1:3" x14ac:dyDescent="0.25">
      <c r="C32" t="s">
        <v>626</v>
      </c>
    </row>
    <row r="33" spans="3:3" x14ac:dyDescent="0.25">
      <c r="C33" t="s">
        <v>627</v>
      </c>
    </row>
    <row r="34" spans="3:3" x14ac:dyDescent="0.25">
      <c r="C34" s="150" t="s">
        <v>628</v>
      </c>
    </row>
    <row r="35" spans="3:3" x14ac:dyDescent="0.25">
      <c r="C35" s="150" t="s">
        <v>629</v>
      </c>
    </row>
    <row r="36" spans="3:3" x14ac:dyDescent="0.25">
      <c r="C36" s="150" t="s">
        <v>630</v>
      </c>
    </row>
    <row r="37" spans="3:3" ht="16.5" x14ac:dyDescent="0.25">
      <c r="C37" s="152" t="s">
        <v>631</v>
      </c>
    </row>
    <row r="38" spans="3:3" ht="16.5" x14ac:dyDescent="0.25">
      <c r="C38" s="152" t="s">
        <v>632</v>
      </c>
    </row>
    <row r="39" spans="3:3" ht="16.5" x14ac:dyDescent="0.25">
      <c r="C39" s="152" t="s">
        <v>633</v>
      </c>
    </row>
    <row r="40" spans="3:3" x14ac:dyDescent="0.25">
      <c r="C40" s="150" t="s">
        <v>634</v>
      </c>
    </row>
    <row r="41" spans="3:3" x14ac:dyDescent="0.25">
      <c r="C41" s="150" t="s">
        <v>635</v>
      </c>
    </row>
    <row r="42" spans="3:3" x14ac:dyDescent="0.25">
      <c r="C42" s="150" t="s">
        <v>636</v>
      </c>
    </row>
    <row r="43" spans="3:3" x14ac:dyDescent="0.25">
      <c r="C43" s="150" t="s">
        <v>637</v>
      </c>
    </row>
    <row r="44" spans="3:3" x14ac:dyDescent="0.25">
      <c r="C44" s="150" t="s">
        <v>638</v>
      </c>
    </row>
    <row r="45" spans="3:3" x14ac:dyDescent="0.25">
      <c r="C45" s="150" t="s">
        <v>639</v>
      </c>
    </row>
    <row r="46" spans="3:3" x14ac:dyDescent="0.25">
      <c r="C46" t="s">
        <v>640</v>
      </c>
    </row>
    <row r="47" spans="3:3" x14ac:dyDescent="0.25">
      <c r="C47" s="150" t="s">
        <v>641</v>
      </c>
    </row>
    <row r="48" spans="3:3" x14ac:dyDescent="0.25">
      <c r="C48" s="151" t="s">
        <v>642</v>
      </c>
    </row>
    <row r="49" spans="1:3" x14ac:dyDescent="0.25">
      <c r="C49" s="151" t="s">
        <v>643</v>
      </c>
    </row>
    <row r="50" spans="1:3" x14ac:dyDescent="0.25">
      <c r="C50" s="151" t="s">
        <v>644</v>
      </c>
    </row>
    <row r="51" spans="1:3" x14ac:dyDescent="0.25">
      <c r="C51" t="s">
        <v>645</v>
      </c>
    </row>
    <row r="52" spans="1:3" x14ac:dyDescent="0.25">
      <c r="C52" t="s">
        <v>646</v>
      </c>
    </row>
    <row r="53" spans="1:3" x14ac:dyDescent="0.25">
      <c r="C53" t="s">
        <v>647</v>
      </c>
    </row>
    <row r="54" spans="1:3" x14ac:dyDescent="0.25">
      <c r="C54" t="s">
        <v>648</v>
      </c>
    </row>
    <row r="55" spans="1:3" x14ac:dyDescent="0.25">
      <c r="C55" t="s">
        <v>649</v>
      </c>
    </row>
    <row r="56" spans="1:3" x14ac:dyDescent="0.25">
      <c r="C56" s="31" t="s">
        <v>650</v>
      </c>
    </row>
    <row r="57" spans="1:3" x14ac:dyDescent="0.25">
      <c r="C57" s="31" t="s">
        <v>651</v>
      </c>
    </row>
    <row r="59" spans="1:3" x14ac:dyDescent="0.25">
      <c r="A59">
        <v>2008.01</v>
      </c>
      <c r="B59" s="197">
        <v>44319</v>
      </c>
      <c r="C59" t="s">
        <v>652</v>
      </c>
    </row>
    <row r="60" spans="1:3" x14ac:dyDescent="0.25">
      <c r="C60" s="131" t="s">
        <v>653</v>
      </c>
    </row>
    <row r="61" spans="1:3" x14ac:dyDescent="0.25">
      <c r="C61" s="131" t="s">
        <v>654</v>
      </c>
    </row>
    <row r="63" spans="1:3" x14ac:dyDescent="0.25">
      <c r="A63">
        <v>2108.0100000000002</v>
      </c>
      <c r="B63" s="197">
        <v>44578</v>
      </c>
      <c r="C63" t="s">
        <v>655</v>
      </c>
    </row>
    <row r="64" spans="1:3" x14ac:dyDescent="0.25">
      <c r="C64" t="s">
        <v>656</v>
      </c>
    </row>
    <row r="65" spans="1:3" x14ac:dyDescent="0.25">
      <c r="C65" t="s">
        <v>657</v>
      </c>
    </row>
    <row r="66" spans="1:3" x14ac:dyDescent="0.25">
      <c r="C66" t="s">
        <v>658</v>
      </c>
    </row>
    <row r="68" spans="1:3" x14ac:dyDescent="0.25">
      <c r="A68">
        <v>2206.0100000000002</v>
      </c>
      <c r="B68" s="197">
        <v>44748</v>
      </c>
      <c r="C68" t="s">
        <v>660</v>
      </c>
    </row>
    <row r="70" spans="1:3" x14ac:dyDescent="0.25">
      <c r="A70">
        <v>2301.0100000000002</v>
      </c>
      <c r="B70" s="197">
        <v>44946</v>
      </c>
      <c r="C70" t="s">
        <v>659</v>
      </c>
    </row>
    <row r="71" spans="1:3" x14ac:dyDescent="0.25">
      <c r="C71" t="s">
        <v>749</v>
      </c>
    </row>
    <row r="73" spans="1:3" x14ac:dyDescent="0.25">
      <c r="A73">
        <v>2306.0100000000002</v>
      </c>
      <c r="B73" s="197">
        <v>45156</v>
      </c>
      <c r="C73" t="s">
        <v>741</v>
      </c>
    </row>
    <row r="74" spans="1:3" x14ac:dyDescent="0.25">
      <c r="C74" t="s">
        <v>742</v>
      </c>
    </row>
    <row r="76" spans="1:3" x14ac:dyDescent="0.25">
      <c r="A76">
        <v>2306.02</v>
      </c>
      <c r="B76" s="197">
        <v>45211</v>
      </c>
      <c r="C76" t="s">
        <v>748</v>
      </c>
    </row>
  </sheetData>
  <pageMargins left="0.7" right="0.7" top="0.75" bottom="0.75" header="0.3" footer="0.3"/>
  <pageSetup orientation="portrait" horizontalDpi="360" verticalDpi="36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G38"/>
  <sheetViews>
    <sheetView zoomScaleNormal="100" workbookViewId="0">
      <selection activeCell="B8" sqref="B8"/>
    </sheetView>
  </sheetViews>
  <sheetFormatPr defaultColWidth="8.85546875" defaultRowHeight="15" x14ac:dyDescent="0.25"/>
  <cols>
    <col min="1" max="1" width="35.140625" customWidth="1"/>
    <col min="2" max="2" width="9" customWidth="1"/>
    <col min="7" max="8" width="11" customWidth="1"/>
    <col min="9" max="9" width="6.140625" customWidth="1"/>
    <col min="10" max="10" width="13.5703125" customWidth="1"/>
    <col min="12" max="18" width="9.140625" customWidth="1"/>
  </cols>
  <sheetData>
    <row r="1" spans="1:33" ht="20.25" thickBot="1" x14ac:dyDescent="0.35">
      <c r="A1" s="3" t="s">
        <v>661</v>
      </c>
      <c r="E1" s="26"/>
      <c r="F1" s="26"/>
      <c r="G1" s="26"/>
      <c r="H1" s="26"/>
      <c r="I1" s="26"/>
      <c r="J1" s="26"/>
      <c r="L1" s="26"/>
      <c r="M1" s="26"/>
      <c r="N1" s="26"/>
      <c r="O1" s="26"/>
      <c r="P1" s="26"/>
      <c r="Q1" s="26"/>
      <c r="R1" s="26"/>
      <c r="S1" s="26"/>
      <c r="T1" s="26"/>
      <c r="V1" s="26"/>
      <c r="W1" s="26"/>
      <c r="X1" s="26"/>
      <c r="Y1" s="26"/>
      <c r="Z1" s="26"/>
      <c r="AA1" s="26"/>
      <c r="AB1" s="26"/>
      <c r="AC1" s="26"/>
      <c r="AD1" s="26"/>
      <c r="AE1" s="26"/>
      <c r="AF1" s="26"/>
      <c r="AG1" s="26"/>
    </row>
    <row r="2" spans="1:33" ht="15.75" thickTop="1" x14ac:dyDescent="0.25">
      <c r="A2" s="10" t="s">
        <v>662</v>
      </c>
      <c r="E2" s="27"/>
      <c r="F2" s="13"/>
      <c r="G2" s="28"/>
      <c r="H2" s="28"/>
      <c r="I2" s="29"/>
      <c r="J2" s="29"/>
      <c r="L2" s="13"/>
      <c r="M2" s="22"/>
      <c r="N2" s="22"/>
      <c r="O2" s="22"/>
      <c r="P2" s="22"/>
      <c r="Q2" s="22"/>
      <c r="R2" s="22"/>
      <c r="S2" s="22"/>
      <c r="T2" s="22"/>
      <c r="V2" s="13"/>
      <c r="W2" s="22"/>
      <c r="X2" s="22"/>
      <c r="Y2" s="22"/>
      <c r="Z2" s="22"/>
      <c r="AA2" s="22"/>
      <c r="AB2" s="22"/>
      <c r="AC2" s="22"/>
      <c r="AD2" s="22"/>
      <c r="AE2" s="22"/>
      <c r="AF2" s="22"/>
      <c r="AG2" s="22"/>
    </row>
    <row r="3" spans="1:33" x14ac:dyDescent="0.25">
      <c r="A3" t="s">
        <v>663</v>
      </c>
      <c r="B3" s="6" t="e">
        <f>ServersPerScaleUnit</f>
        <v>#REF!</v>
      </c>
      <c r="F3" s="1"/>
      <c r="G3" s="23"/>
      <c r="H3" s="23"/>
      <c r="I3" s="9"/>
      <c r="J3" s="9"/>
      <c r="L3" s="24"/>
      <c r="V3" s="24"/>
    </row>
    <row r="4" spans="1:33" x14ac:dyDescent="0.25">
      <c r="A4" t="s">
        <v>664</v>
      </c>
      <c r="B4" s="6" t="e">
        <f>S2D_Capacity_Count</f>
        <v>#REF!</v>
      </c>
      <c r="E4" s="1"/>
      <c r="F4" s="1"/>
      <c r="G4" s="7"/>
      <c r="H4" s="7"/>
      <c r="I4" s="30"/>
      <c r="J4" s="30"/>
      <c r="L4" s="25"/>
      <c r="M4" s="7"/>
      <c r="N4" s="7"/>
      <c r="O4" s="7"/>
      <c r="P4" s="7"/>
      <c r="Q4" s="7"/>
      <c r="R4" s="7"/>
      <c r="S4" s="7"/>
      <c r="T4" s="7"/>
      <c r="V4" s="25"/>
      <c r="W4" s="7"/>
      <c r="X4" s="7"/>
      <c r="Y4" s="7"/>
      <c r="Z4" s="7"/>
      <c r="AA4" s="7"/>
      <c r="AB4" s="7"/>
      <c r="AC4" s="7"/>
      <c r="AD4" s="7"/>
      <c r="AE4" s="7"/>
      <c r="AF4" s="7"/>
      <c r="AG4" s="7"/>
    </row>
    <row r="5" spans="1:33" x14ac:dyDescent="0.25">
      <c r="A5" t="s">
        <v>665</v>
      </c>
      <c r="B5" s="6" t="e">
        <f>S2D_Cache_Count</f>
        <v>#REF!</v>
      </c>
      <c r="E5" s="1"/>
      <c r="F5" s="1"/>
      <c r="G5" s="7"/>
      <c r="H5" s="7"/>
      <c r="I5" s="30"/>
      <c r="J5" s="30"/>
      <c r="L5" s="25"/>
      <c r="M5" s="7"/>
      <c r="N5" s="7"/>
      <c r="O5" s="7"/>
      <c r="P5" s="7"/>
      <c r="Q5" s="7"/>
      <c r="R5" s="7"/>
      <c r="S5" s="7"/>
      <c r="T5" s="7"/>
      <c r="V5" s="25"/>
      <c r="W5" s="7"/>
      <c r="X5" s="7"/>
      <c r="Y5" s="7"/>
      <c r="Z5" s="7"/>
      <c r="AA5" s="7"/>
      <c r="AB5" s="7"/>
      <c r="AC5" s="7"/>
      <c r="AD5" s="7"/>
      <c r="AE5" s="7"/>
      <c r="AF5" s="7"/>
      <c r="AG5" s="7"/>
    </row>
    <row r="6" spans="1:33" x14ac:dyDescent="0.25">
      <c r="A6" s="10" t="s">
        <v>666</v>
      </c>
      <c r="E6" s="1"/>
      <c r="F6" s="1"/>
      <c r="G6" s="7"/>
      <c r="H6" s="7"/>
      <c r="I6" s="30"/>
      <c r="J6" s="30"/>
      <c r="L6" s="25"/>
      <c r="M6" s="7"/>
      <c r="N6" s="7"/>
      <c r="O6" s="7"/>
      <c r="P6" s="7"/>
      <c r="Q6" s="7"/>
      <c r="R6" s="7"/>
      <c r="S6" s="7"/>
      <c r="T6" s="7"/>
      <c r="V6" s="25"/>
      <c r="W6" s="7"/>
      <c r="X6" s="7"/>
      <c r="Y6" s="7"/>
      <c r="Z6" s="7"/>
      <c r="AA6" s="7"/>
      <c r="AB6" s="7"/>
      <c r="AC6" s="7"/>
      <c r="AD6" s="7"/>
      <c r="AE6" s="7"/>
      <c r="AF6" s="7"/>
      <c r="AG6" s="7"/>
    </row>
    <row r="7" spans="1:33" x14ac:dyDescent="0.25">
      <c r="A7" t="s">
        <v>667</v>
      </c>
      <c r="B7" s="6" t="e">
        <f>S2D_Capacity_Capacity/1000</f>
        <v>#REF!</v>
      </c>
      <c r="E7" s="1"/>
      <c r="F7" s="1"/>
      <c r="G7" s="7"/>
      <c r="H7" s="7"/>
      <c r="I7" s="30"/>
      <c r="J7" s="30"/>
      <c r="L7" s="25"/>
      <c r="M7" s="7"/>
      <c r="N7" s="7"/>
      <c r="O7" s="7"/>
      <c r="P7" s="7"/>
      <c r="Q7" s="7"/>
      <c r="R7" s="7"/>
      <c r="S7" s="7"/>
      <c r="T7" s="7"/>
      <c r="V7" s="25"/>
      <c r="W7" s="7"/>
      <c r="X7" s="7"/>
      <c r="Y7" s="7"/>
      <c r="Z7" s="7"/>
      <c r="AA7" s="7"/>
      <c r="AB7" s="7"/>
      <c r="AC7" s="7"/>
      <c r="AD7" s="7"/>
      <c r="AE7" s="7"/>
      <c r="AF7" s="7"/>
      <c r="AG7" s="7"/>
    </row>
    <row r="8" spans="1:33" x14ac:dyDescent="0.25">
      <c r="A8" t="s">
        <v>668</v>
      </c>
      <c r="B8" s="6" t="e">
        <f>S2D_Cache_Capacity/1000</f>
        <v>#REF!</v>
      </c>
      <c r="E8" s="1"/>
      <c r="F8" s="1"/>
      <c r="G8" s="7"/>
      <c r="H8" s="7"/>
      <c r="I8" s="30"/>
      <c r="J8" s="30"/>
      <c r="L8" s="25"/>
      <c r="M8" s="7"/>
      <c r="N8" s="7"/>
      <c r="O8" s="7"/>
      <c r="P8" s="7"/>
      <c r="Q8" s="7"/>
      <c r="R8" s="7"/>
      <c r="S8" s="7"/>
      <c r="T8" s="7"/>
      <c r="V8" s="25"/>
      <c r="W8" s="7"/>
      <c r="X8" s="7"/>
      <c r="Y8" s="7"/>
      <c r="Z8" s="7"/>
      <c r="AA8" s="7"/>
      <c r="AB8" s="7"/>
      <c r="AC8" s="7"/>
      <c r="AD8" s="7"/>
      <c r="AE8" s="7"/>
      <c r="AF8" s="7"/>
      <c r="AG8" s="7"/>
    </row>
    <row r="9" spans="1:33" x14ac:dyDescent="0.25">
      <c r="A9" t="s">
        <v>669</v>
      </c>
      <c r="B9" s="6">
        <v>32</v>
      </c>
      <c r="E9" s="1"/>
      <c r="F9" s="1"/>
      <c r="G9" s="7"/>
      <c r="H9" s="7"/>
      <c r="I9" s="30"/>
      <c r="J9" s="30"/>
      <c r="L9" s="25"/>
      <c r="M9" s="7"/>
      <c r="N9" s="7"/>
      <c r="O9" s="7"/>
      <c r="P9" s="7"/>
      <c r="Q9" s="7"/>
      <c r="R9" s="7"/>
      <c r="S9" s="7"/>
      <c r="T9" s="7"/>
      <c r="V9" s="25"/>
      <c r="W9" s="7"/>
      <c r="X9" s="7"/>
      <c r="Y9" s="7"/>
      <c r="Z9" s="7"/>
      <c r="AA9" s="7"/>
      <c r="AB9" s="7"/>
      <c r="AC9" s="7"/>
      <c r="AD9" s="7"/>
      <c r="AE9" s="7"/>
      <c r="AF9" s="7"/>
      <c r="AG9" s="7"/>
    </row>
    <row r="10" spans="1:33" x14ac:dyDescent="0.25">
      <c r="A10" t="s">
        <v>670</v>
      </c>
      <c r="B10" s="5">
        <v>1</v>
      </c>
      <c r="E10" s="1"/>
      <c r="F10" s="1"/>
      <c r="G10" s="7"/>
      <c r="H10" s="7"/>
      <c r="I10" s="30"/>
      <c r="J10" s="30"/>
      <c r="L10" s="25"/>
      <c r="M10" s="7"/>
      <c r="N10" s="7"/>
      <c r="O10" s="7"/>
      <c r="P10" s="7"/>
      <c r="Q10" s="7"/>
      <c r="R10" s="7"/>
      <c r="S10" s="7"/>
      <c r="T10" s="7"/>
      <c r="V10" s="25"/>
      <c r="W10" s="7"/>
      <c r="X10" s="7"/>
      <c r="Y10" s="7"/>
      <c r="Z10" s="7"/>
      <c r="AA10" s="7"/>
      <c r="AB10" s="7"/>
      <c r="AC10" s="7"/>
      <c r="AD10" s="7"/>
      <c r="AE10" s="7"/>
      <c r="AF10" s="7"/>
      <c r="AG10" s="7"/>
    </row>
    <row r="11" spans="1:33" x14ac:dyDescent="0.25">
      <c r="A11" s="10" t="s">
        <v>671</v>
      </c>
      <c r="E11" s="1"/>
      <c r="F11" s="1"/>
      <c r="G11" s="7"/>
      <c r="H11" s="7"/>
      <c r="I11" s="30"/>
      <c r="J11" s="30"/>
      <c r="L11" s="25"/>
      <c r="M11" s="7"/>
      <c r="N11" s="7"/>
      <c r="O11" s="7"/>
      <c r="P11" s="7"/>
      <c r="Q11" s="7"/>
      <c r="R11" s="7"/>
      <c r="S11" s="7"/>
      <c r="T11" s="7"/>
      <c r="V11" s="25"/>
      <c r="W11" s="7"/>
      <c r="X11" s="7"/>
      <c r="Y11" s="7"/>
      <c r="Z11" s="7"/>
      <c r="AA11" s="7"/>
      <c r="AB11" s="7"/>
      <c r="AC11" s="7"/>
      <c r="AD11" s="7"/>
      <c r="AE11" s="7"/>
      <c r="AF11" s="7"/>
      <c r="AG11" s="7"/>
    </row>
    <row r="12" spans="1:33" x14ac:dyDescent="0.25">
      <c r="A12" t="s">
        <v>663</v>
      </c>
      <c r="B12" s="6">
        <v>0</v>
      </c>
      <c r="E12" s="1"/>
      <c r="F12" s="1"/>
      <c r="G12" s="7"/>
      <c r="H12" s="7"/>
      <c r="I12" s="30"/>
      <c r="J12" s="30"/>
      <c r="L12" s="25"/>
      <c r="M12" s="7"/>
      <c r="N12" s="7"/>
      <c r="O12" s="7"/>
      <c r="P12" s="7"/>
      <c r="Q12" s="7"/>
      <c r="R12" s="7"/>
      <c r="S12" s="7"/>
      <c r="T12" s="7"/>
      <c r="V12" s="25"/>
      <c r="W12" s="7"/>
      <c r="X12" s="7"/>
      <c r="Y12" s="7"/>
      <c r="Z12" s="7"/>
      <c r="AA12" s="7"/>
      <c r="AB12" s="7"/>
      <c r="AC12" s="7"/>
      <c r="AD12" s="7"/>
      <c r="AE12" s="7"/>
      <c r="AF12" s="7"/>
      <c r="AG12" s="7"/>
    </row>
    <row r="13" spans="1:33" x14ac:dyDescent="0.25">
      <c r="A13" t="s">
        <v>672</v>
      </c>
      <c r="B13" s="6" t="e">
        <f>Nodes</f>
        <v>#REF!</v>
      </c>
      <c r="E13" s="1"/>
      <c r="F13" s="1"/>
      <c r="G13" s="7"/>
      <c r="H13" s="7"/>
      <c r="I13" s="30"/>
      <c r="J13" s="30"/>
      <c r="L13" s="25"/>
      <c r="M13" s="7"/>
      <c r="N13" s="7"/>
      <c r="O13" s="7"/>
      <c r="P13" s="7"/>
      <c r="Q13" s="7"/>
      <c r="R13" s="7"/>
      <c r="S13" s="7"/>
      <c r="T13" s="7"/>
      <c r="V13" s="25"/>
      <c r="W13" s="7"/>
      <c r="X13" s="7"/>
      <c r="Y13" s="7"/>
      <c r="Z13" s="7"/>
      <c r="AA13" s="7"/>
      <c r="AB13" s="7"/>
      <c r="AC13" s="7"/>
      <c r="AD13" s="7"/>
      <c r="AE13" s="7"/>
      <c r="AF13" s="7"/>
      <c r="AG13" s="7"/>
    </row>
    <row r="14" spans="1:33" x14ac:dyDescent="0.25">
      <c r="A14" s="10" t="s">
        <v>673</v>
      </c>
      <c r="E14" s="1"/>
      <c r="F14" s="1"/>
      <c r="G14" s="7"/>
      <c r="H14" s="7"/>
      <c r="I14" s="30"/>
      <c r="J14" s="30"/>
      <c r="L14" s="25"/>
      <c r="M14" s="7"/>
      <c r="N14" s="7"/>
      <c r="O14" s="7"/>
      <c r="P14" s="7"/>
      <c r="Q14" s="7"/>
      <c r="R14" s="7"/>
      <c r="S14" s="7"/>
      <c r="T14" s="7"/>
      <c r="V14" s="25"/>
      <c r="W14" s="7"/>
      <c r="X14" s="7"/>
      <c r="Y14" s="7"/>
      <c r="Z14" s="7"/>
      <c r="AA14" s="7"/>
      <c r="AB14" s="7"/>
      <c r="AC14" s="7"/>
      <c r="AD14" s="7"/>
      <c r="AE14" s="7"/>
      <c r="AF14" s="7"/>
      <c r="AG14" s="7"/>
    </row>
    <row r="15" spans="1:33" x14ac:dyDescent="0.25">
      <c r="A15" t="s">
        <v>674</v>
      </c>
      <c r="B15" s="721" t="s">
        <v>675</v>
      </c>
      <c r="C15" s="722"/>
      <c r="D15" s="722"/>
      <c r="E15" s="1"/>
      <c r="F15" s="1"/>
      <c r="G15" s="7"/>
      <c r="H15" s="7"/>
      <c r="I15" s="30"/>
      <c r="J15" s="30"/>
      <c r="L15" s="25"/>
      <c r="M15" s="7"/>
      <c r="N15" s="7"/>
      <c r="O15" s="7"/>
      <c r="P15" s="7"/>
      <c r="Q15" s="7"/>
      <c r="R15" s="7"/>
      <c r="S15" s="7"/>
      <c r="T15" s="7"/>
      <c r="V15" s="25"/>
      <c r="W15" s="7"/>
      <c r="X15" s="7"/>
      <c r="Y15" s="7"/>
      <c r="Z15" s="7"/>
      <c r="AA15" s="7"/>
      <c r="AB15" s="7"/>
      <c r="AC15" s="7"/>
      <c r="AD15" s="7"/>
      <c r="AE15" s="7"/>
      <c r="AF15" s="7"/>
      <c r="AG15" s="7"/>
    </row>
    <row r="16" spans="1:33" x14ac:dyDescent="0.25">
      <c r="E16" s="1"/>
      <c r="F16" s="1"/>
      <c r="G16" s="7"/>
      <c r="H16" s="7"/>
      <c r="I16" s="30"/>
      <c r="J16" s="30"/>
      <c r="L16" s="25"/>
      <c r="M16" s="7"/>
      <c r="N16" s="7"/>
      <c r="O16" s="7"/>
      <c r="P16" s="7"/>
      <c r="Q16" s="7"/>
      <c r="R16" s="7"/>
      <c r="S16" s="7"/>
      <c r="T16" s="7"/>
      <c r="V16" s="25"/>
      <c r="W16" s="7"/>
      <c r="X16" s="7"/>
      <c r="Y16" s="7"/>
      <c r="Z16" s="7"/>
      <c r="AA16" s="7"/>
      <c r="AB16" s="7"/>
      <c r="AC16" s="7"/>
      <c r="AD16" s="7"/>
      <c r="AE16" s="7"/>
      <c r="AF16" s="7"/>
      <c r="AG16" s="7"/>
    </row>
    <row r="17" spans="1:10" ht="20.25" thickBot="1" x14ac:dyDescent="0.35">
      <c r="A17" s="3" t="s">
        <v>676</v>
      </c>
      <c r="E17" s="1"/>
      <c r="F17" s="1"/>
      <c r="G17" s="7"/>
      <c r="H17" s="7"/>
      <c r="I17" s="1"/>
      <c r="J17" s="1"/>
    </row>
    <row r="18" spans="1:10" ht="15.75" thickTop="1" x14ac:dyDescent="0.25">
      <c r="A18" s="10" t="s">
        <v>677</v>
      </c>
      <c r="B18" s="8" t="s">
        <v>257</v>
      </c>
      <c r="C18" s="8" t="s">
        <v>678</v>
      </c>
    </row>
    <row r="19" spans="1:10" x14ac:dyDescent="0.25">
      <c r="A19" s="11" t="s">
        <v>679</v>
      </c>
      <c r="B19" s="12" t="e">
        <f>IF(ParityEfficiency=0,MinAvailTB,AllocRawTB/(DesiredMirrorPct*MirrorCopies+(1-DesiredMirrorPct)*(1/ParityEfficiency)))</f>
        <v>#REF!</v>
      </c>
      <c r="C19" s="12" t="e">
        <f>B19*POWER(10,12)/POWER(2,40)</f>
        <v>#REF!</v>
      </c>
    </row>
    <row r="20" spans="1:10" x14ac:dyDescent="0.25">
      <c r="A20" s="11" t="s">
        <v>680</v>
      </c>
      <c r="B20" s="12" t="e">
        <f>ActualAvailableTB*DesiredMirrorPct</f>
        <v>#REF!</v>
      </c>
      <c r="C20" s="12" t="e">
        <f>B20*POWER(10,12)/POWER(2,40)</f>
        <v>#REF!</v>
      </c>
    </row>
    <row r="21" spans="1:10" x14ac:dyDescent="0.25">
      <c r="A21" s="11" t="s">
        <v>681</v>
      </c>
      <c r="B21" s="12" t="e">
        <f>ActualAvailableTB-B20</f>
        <v>#REF!</v>
      </c>
      <c r="C21" s="12" t="e">
        <f>B21*POWER(10,12)/POWER(2,40)</f>
        <v>#REF!</v>
      </c>
    </row>
    <row r="22" spans="1:10" x14ac:dyDescent="0.25">
      <c r="A22" t="s">
        <v>682</v>
      </c>
      <c r="B22" s="7" t="e">
        <f>AllocRawTB/MirrorCopies</f>
        <v>#REF!</v>
      </c>
      <c r="C22" s="7" t="e">
        <f>MinAvailTB*POWER(10,12)/POWER(2,40)</f>
        <v>#REF!</v>
      </c>
    </row>
    <row r="23" spans="1:10" x14ac:dyDescent="0.25">
      <c r="A23" t="s">
        <v>683</v>
      </c>
      <c r="B23" s="7" t="e">
        <f>IF(ParityEfficiency=0,MinAvailTB,AllocRawTB*ParityEfficiency)</f>
        <v>#REF!</v>
      </c>
      <c r="C23" s="7" t="e">
        <f>MaxAvailTB*POWER(10,12)/POWER(2,40)</f>
        <v>#REF!</v>
      </c>
    </row>
    <row r="24" spans="1:10" x14ac:dyDescent="0.25">
      <c r="A24" s="10" t="s">
        <v>684</v>
      </c>
      <c r="B24" s="8" t="s">
        <v>257</v>
      </c>
      <c r="C24" s="8" t="s">
        <v>678</v>
      </c>
    </row>
    <row r="25" spans="1:10" x14ac:dyDescent="0.25">
      <c r="A25" t="s">
        <v>684</v>
      </c>
      <c r="B25" s="7" t="e">
        <f>Nodes*NodeCapDev*CapDevSize</f>
        <v>#REF!</v>
      </c>
      <c r="C25" s="7" t="e">
        <f>RawCapacityTB*(POWER(10,12)/POWER(2,40))</f>
        <v>#REF!</v>
      </c>
    </row>
    <row r="26" spans="1:10" x14ac:dyDescent="0.25">
      <c r="A26" t="s">
        <v>685</v>
      </c>
      <c r="B26" s="7" t="e">
        <f>RawCapacityTB-AllocRawTB</f>
        <v>#REF!</v>
      </c>
      <c r="C26" s="7" t="e">
        <f>RegenReserveTB*(POWER(10,12)/POWER(2,40))</f>
        <v>#REF!</v>
      </c>
    </row>
    <row r="27" spans="1:10" x14ac:dyDescent="0.25">
      <c r="A27" t="s">
        <v>686</v>
      </c>
      <c r="B27" s="7" t="e">
        <f>IF(InNodeRegen,(NodeCapDev-AddlCapDevRegen)*NodesMin*CapDevSize,(NodeCapDev*NodesMin-AddlCapDevRegen)*CapDevSize)</f>
        <v>#REF!</v>
      </c>
      <c r="C27" s="7" t="e">
        <f>AllocRawTB*(POWER(10,12)/POWER(2,40))</f>
        <v>#REF!</v>
      </c>
    </row>
    <row r="28" spans="1:10" x14ac:dyDescent="0.25">
      <c r="A28" s="10" t="s">
        <v>687</v>
      </c>
      <c r="B28" s="2"/>
      <c r="C28" s="2"/>
    </row>
    <row r="29" spans="1:10" x14ac:dyDescent="0.25">
      <c r="A29" t="s">
        <v>688</v>
      </c>
      <c r="B29" s="4" t="e">
        <f>IF(CacheDevSize&gt;0,((CacheDevSize-MDReserve*(POWER(2,30)/POWER(10,12)))*NodeCacheDev)/(ActualAvailableTB/Nodes),0)</f>
        <v>#REF!</v>
      </c>
    </row>
    <row r="30" spans="1:10" x14ac:dyDescent="0.25">
      <c r="A30" t="s">
        <v>689</v>
      </c>
      <c r="B30" t="e">
        <f>MIN(FLOOR(NodesMin-ParityGroups-ParityGlobal,2),ParityMaxLocalDataSymbols)*ParityGroups</f>
        <v>#REF!</v>
      </c>
    </row>
    <row r="31" spans="1:10" x14ac:dyDescent="0.25">
      <c r="A31" t="s">
        <v>690</v>
      </c>
      <c r="B31" t="e">
        <f>MIN(7,MAX(1,ROUNDDOWN((NodesMin-ParityGlobal)/(ParityMaxLocalDataSymbols+1),0)))</f>
        <v>#REF!</v>
      </c>
    </row>
    <row r="32" spans="1:10" x14ac:dyDescent="0.25">
      <c r="A32" t="s">
        <v>691</v>
      </c>
      <c r="B32">
        <v>1</v>
      </c>
    </row>
    <row r="33" spans="1:2" x14ac:dyDescent="0.25">
      <c r="A33" t="s">
        <v>692</v>
      </c>
      <c r="B33">
        <f>VLOOKUP(ParityOptimization,Reference_Support!A7:B9,2,FALSE)</f>
        <v>4</v>
      </c>
    </row>
    <row r="34" spans="1:2" x14ac:dyDescent="0.25">
      <c r="A34" t="s">
        <v>693</v>
      </c>
      <c r="B34" s="1" t="e">
        <f>IF(ParityDataSymbols&lt;2,0,ParityDataSymbols/(ParityDataSymbols+ParityGroups+ParityGlobal))</f>
        <v>#REF!</v>
      </c>
    </row>
    <row r="35" spans="1:2" x14ac:dyDescent="0.25">
      <c r="A35" t="s">
        <v>447</v>
      </c>
      <c r="B35" t="e">
        <f>IF(Nodes&lt;3,2,3)</f>
        <v>#REF!</v>
      </c>
    </row>
    <row r="36" spans="1:2" x14ac:dyDescent="0.25">
      <c r="A36" t="s">
        <v>694</v>
      </c>
      <c r="B36" s="1" t="e">
        <f>RegenReserveTB/RawCapacityTB</f>
        <v>#REF!</v>
      </c>
    </row>
    <row r="37" spans="1:2" x14ac:dyDescent="0.25">
      <c r="A37" t="s">
        <v>695</v>
      </c>
      <c r="B37" t="e">
        <f>Nodes-NodesRegen</f>
        <v>#REF!</v>
      </c>
    </row>
    <row r="38" spans="1:2" x14ac:dyDescent="0.25">
      <c r="A38" t="s">
        <v>696</v>
      </c>
      <c r="B38" t="e">
        <f>OR(AND(DesiredMirrorPct &lt; 100%,ParityDataSymbols+ParityGroups+ParityGlobal=NodesMin),MirrorCopies=NodesMin)</f>
        <v>#REF!</v>
      </c>
    </row>
  </sheetData>
  <mergeCells count="1">
    <mergeCell ref="B15:D15"/>
  </mergeCells>
  <conditionalFormatting sqref="G3:H3">
    <cfRule type="duplicateValues" dxfId="1" priority="7"/>
  </conditionalFormatting>
  <dataValidations count="1">
    <dataValidation type="custom" allowBlank="1" showInputMessage="1" showErrorMessage="1" errorTitle="Too Many Devices" error="Please specify a number of devices less than the total number of capacity devices per node." sqref="B13" xr:uid="{00000000-0002-0000-0900-000000000000}">
      <formula1>NodeCapDev&gt;AddlCapDevRegen</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errorTitle="Mirror Copies" error="The number of mirror copies must not be greater than node count after accounting for node failure requirements (i.e., 3 copy is not possible on 2 nodes)." xr:uid="{00000000-0002-0000-0900-000001000000}">
          <x14:formula1>
            <xm:f>Reference_Support!$A$7:$A$9</xm:f>
          </x14:formula1>
          <xm:sqref>B15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A1:AG38"/>
  <sheetViews>
    <sheetView zoomScaleNormal="100" workbookViewId="0">
      <selection activeCell="B5" sqref="B5"/>
    </sheetView>
  </sheetViews>
  <sheetFormatPr defaultColWidth="8.85546875" defaultRowHeight="15" x14ac:dyDescent="0.25"/>
  <cols>
    <col min="1" max="1" width="35.140625" customWidth="1"/>
    <col min="2" max="2" width="9" customWidth="1"/>
    <col min="7" max="8" width="11" customWidth="1"/>
    <col min="9" max="9" width="6.140625" customWidth="1"/>
    <col min="10" max="10" width="13.5703125" customWidth="1"/>
    <col min="12" max="18" width="9.140625" customWidth="1"/>
  </cols>
  <sheetData>
    <row r="1" spans="1:33" ht="20.25" thickBot="1" x14ac:dyDescent="0.35">
      <c r="A1" s="3" t="s">
        <v>661</v>
      </c>
      <c r="E1" s="26"/>
      <c r="F1" s="26"/>
      <c r="G1" s="26"/>
      <c r="H1" s="26"/>
      <c r="I1" s="26"/>
      <c r="J1" s="26"/>
      <c r="L1" s="26"/>
      <c r="M1" s="26"/>
      <c r="N1" s="26"/>
      <c r="O1" s="26"/>
      <c r="P1" s="26"/>
      <c r="Q1" s="26"/>
      <c r="R1" s="26"/>
      <c r="S1" s="26"/>
      <c r="T1" s="26"/>
      <c r="V1" s="26"/>
      <c r="W1" s="26"/>
      <c r="X1" s="26"/>
      <c r="Y1" s="26"/>
      <c r="Z1" s="26"/>
      <c r="AA1" s="26"/>
      <c r="AB1" s="26"/>
      <c r="AC1" s="26"/>
      <c r="AD1" s="26"/>
      <c r="AE1" s="26"/>
      <c r="AF1" s="26"/>
      <c r="AG1" s="26"/>
    </row>
    <row r="2" spans="1:33" ht="15.75" thickTop="1" x14ac:dyDescent="0.25">
      <c r="A2" s="10" t="s">
        <v>662</v>
      </c>
      <c r="E2" s="27"/>
      <c r="F2" s="13"/>
      <c r="G2" s="28"/>
      <c r="H2" s="28"/>
      <c r="I2" s="29"/>
      <c r="J2" s="29"/>
      <c r="L2" s="13"/>
      <c r="M2" s="22"/>
      <c r="N2" s="22"/>
      <c r="O2" s="22"/>
      <c r="P2" s="22"/>
      <c r="Q2" s="22"/>
      <c r="R2" s="22"/>
      <c r="S2" s="22"/>
      <c r="T2" s="22"/>
      <c r="V2" s="13"/>
      <c r="W2" s="22"/>
      <c r="X2" s="22"/>
      <c r="Y2" s="22"/>
      <c r="Z2" s="22"/>
      <c r="AA2" s="22"/>
      <c r="AB2" s="22"/>
      <c r="AC2" s="22"/>
      <c r="AD2" s="22"/>
      <c r="AE2" s="22"/>
      <c r="AF2" s="22"/>
      <c r="AG2" s="22"/>
    </row>
    <row r="3" spans="1:33" x14ac:dyDescent="0.25">
      <c r="A3" t="s">
        <v>663</v>
      </c>
      <c r="B3" s="6" t="e">
        <f>ServersPerTenantScaleUnit</f>
        <v>#REF!</v>
      </c>
      <c r="F3" s="1"/>
      <c r="G3" s="23"/>
      <c r="H3" s="23"/>
      <c r="I3" s="9"/>
      <c r="J3" s="9"/>
      <c r="L3" s="24"/>
      <c r="V3" s="24"/>
    </row>
    <row r="4" spans="1:33" x14ac:dyDescent="0.25">
      <c r="A4" t="s">
        <v>664</v>
      </c>
      <c r="B4" s="6" t="e">
        <f>S2D_Tenant_Capacity_Count</f>
        <v>#REF!</v>
      </c>
      <c r="E4" s="1"/>
      <c r="F4" s="1"/>
      <c r="G4" s="7"/>
      <c r="H4" s="7"/>
      <c r="I4" s="30"/>
      <c r="J4" s="30"/>
      <c r="L4" s="25"/>
      <c r="M4" s="7"/>
      <c r="N4" s="7"/>
      <c r="O4" s="7"/>
      <c r="P4" s="7"/>
      <c r="Q4" s="7"/>
      <c r="R4" s="7"/>
      <c r="S4" s="7"/>
      <c r="T4" s="7"/>
      <c r="V4" s="25"/>
      <c r="W4" s="7"/>
      <c r="X4" s="7"/>
      <c r="Y4" s="7"/>
      <c r="Z4" s="7"/>
      <c r="AA4" s="7"/>
      <c r="AB4" s="7"/>
      <c r="AC4" s="7"/>
      <c r="AD4" s="7"/>
      <c r="AE4" s="7"/>
      <c r="AF4" s="7"/>
      <c r="AG4" s="7"/>
    </row>
    <row r="5" spans="1:33" x14ac:dyDescent="0.25">
      <c r="A5" t="s">
        <v>665</v>
      </c>
      <c r="B5" s="6" t="e">
        <f>S2D_Tenant_Cache_Count</f>
        <v>#REF!</v>
      </c>
      <c r="E5" s="1"/>
      <c r="F5" s="1"/>
      <c r="G5" s="7"/>
      <c r="H5" s="7"/>
      <c r="I5" s="30"/>
      <c r="J5" s="30"/>
      <c r="L5" s="25"/>
      <c r="M5" s="7"/>
      <c r="N5" s="7"/>
      <c r="O5" s="7"/>
      <c r="P5" s="7"/>
      <c r="Q5" s="7"/>
      <c r="R5" s="7"/>
      <c r="S5" s="7"/>
      <c r="T5" s="7"/>
      <c r="V5" s="25"/>
      <c r="W5" s="7"/>
      <c r="X5" s="7"/>
      <c r="Y5" s="7"/>
      <c r="Z5" s="7"/>
      <c r="AA5" s="7"/>
      <c r="AB5" s="7"/>
      <c r="AC5" s="7"/>
      <c r="AD5" s="7"/>
      <c r="AE5" s="7"/>
      <c r="AF5" s="7"/>
      <c r="AG5" s="7"/>
    </row>
    <row r="6" spans="1:33" x14ac:dyDescent="0.25">
      <c r="A6" s="10" t="s">
        <v>666</v>
      </c>
      <c r="E6" s="1"/>
      <c r="F6" s="1"/>
      <c r="G6" s="7"/>
      <c r="H6" s="7"/>
      <c r="I6" s="30"/>
      <c r="J6" s="30"/>
      <c r="L6" s="25"/>
      <c r="M6" s="7"/>
      <c r="N6" s="7"/>
      <c r="O6" s="7"/>
      <c r="P6" s="7"/>
      <c r="Q6" s="7"/>
      <c r="R6" s="7"/>
      <c r="S6" s="7"/>
      <c r="T6" s="7"/>
      <c r="V6" s="25"/>
      <c r="W6" s="7"/>
      <c r="X6" s="7"/>
      <c r="Y6" s="7"/>
      <c r="Z6" s="7"/>
      <c r="AA6" s="7"/>
      <c r="AB6" s="7"/>
      <c r="AC6" s="7"/>
      <c r="AD6" s="7"/>
      <c r="AE6" s="7"/>
      <c r="AF6" s="7"/>
      <c r="AG6" s="7"/>
    </row>
    <row r="7" spans="1:33" x14ac:dyDescent="0.25">
      <c r="A7" t="s">
        <v>667</v>
      </c>
      <c r="B7" s="6" t="e">
        <f>S2D_Tenant_Capacity_Capacity/1000</f>
        <v>#REF!</v>
      </c>
      <c r="E7" s="1"/>
      <c r="F7" s="1"/>
      <c r="G7" s="7"/>
      <c r="H7" s="7"/>
      <c r="I7" s="30"/>
      <c r="J7" s="30"/>
      <c r="L7" s="25"/>
      <c r="M7" s="7"/>
      <c r="N7" s="7"/>
      <c r="O7" s="7"/>
      <c r="P7" s="7"/>
      <c r="Q7" s="7"/>
      <c r="R7" s="7"/>
      <c r="S7" s="7"/>
      <c r="T7" s="7"/>
      <c r="V7" s="25"/>
      <c r="W7" s="7"/>
      <c r="X7" s="7"/>
      <c r="Y7" s="7"/>
      <c r="Z7" s="7"/>
      <c r="AA7" s="7"/>
      <c r="AB7" s="7"/>
      <c r="AC7" s="7"/>
      <c r="AD7" s="7"/>
      <c r="AE7" s="7"/>
      <c r="AF7" s="7"/>
      <c r="AG7" s="7"/>
    </row>
    <row r="8" spans="1:33" x14ac:dyDescent="0.25">
      <c r="A8" t="s">
        <v>668</v>
      </c>
      <c r="B8" s="6" t="e">
        <f>S2D_Tenant_Cache_Capacity/1000</f>
        <v>#REF!</v>
      </c>
      <c r="E8" s="1"/>
      <c r="F8" s="1"/>
      <c r="G8" s="7"/>
      <c r="H8" s="7"/>
      <c r="I8" s="30"/>
      <c r="J8" s="30"/>
      <c r="L8" s="25"/>
      <c r="M8" s="7"/>
      <c r="N8" s="7"/>
      <c r="O8" s="7"/>
      <c r="P8" s="7"/>
      <c r="Q8" s="7"/>
      <c r="R8" s="7"/>
      <c r="S8" s="7"/>
      <c r="T8" s="7"/>
      <c r="V8" s="25"/>
      <c r="W8" s="7"/>
      <c r="X8" s="7"/>
      <c r="Y8" s="7"/>
      <c r="Z8" s="7"/>
      <c r="AA8" s="7"/>
      <c r="AB8" s="7"/>
      <c r="AC8" s="7"/>
      <c r="AD8" s="7"/>
      <c r="AE8" s="7"/>
      <c r="AF8" s="7"/>
      <c r="AG8" s="7"/>
    </row>
    <row r="9" spans="1:33" x14ac:dyDescent="0.25">
      <c r="A9" t="s">
        <v>669</v>
      </c>
      <c r="B9" s="6">
        <v>32</v>
      </c>
      <c r="E9" s="1"/>
      <c r="F9" s="1"/>
      <c r="G9" s="7"/>
      <c r="H9" s="7"/>
      <c r="I9" s="30"/>
      <c r="J9" s="30"/>
      <c r="L9" s="25"/>
      <c r="M9" s="7"/>
      <c r="N9" s="7"/>
      <c r="O9" s="7"/>
      <c r="P9" s="7"/>
      <c r="Q9" s="7"/>
      <c r="R9" s="7"/>
      <c r="S9" s="7"/>
      <c r="T9" s="7"/>
      <c r="V9" s="25"/>
      <c r="W9" s="7"/>
      <c r="X9" s="7"/>
      <c r="Y9" s="7"/>
      <c r="Z9" s="7"/>
      <c r="AA9" s="7"/>
      <c r="AB9" s="7"/>
      <c r="AC9" s="7"/>
      <c r="AD9" s="7"/>
      <c r="AE9" s="7"/>
      <c r="AF9" s="7"/>
      <c r="AG9" s="7"/>
    </row>
    <row r="10" spans="1:33" x14ac:dyDescent="0.25">
      <c r="A10" t="s">
        <v>670</v>
      </c>
      <c r="B10" s="5">
        <v>1</v>
      </c>
      <c r="E10" s="1"/>
      <c r="F10" s="1"/>
      <c r="G10" s="7"/>
      <c r="H10" s="7"/>
      <c r="I10" s="30"/>
      <c r="J10" s="30"/>
      <c r="L10" s="25"/>
      <c r="M10" s="7"/>
      <c r="N10" s="7"/>
      <c r="O10" s="7"/>
      <c r="P10" s="7"/>
      <c r="Q10" s="7"/>
      <c r="R10" s="7"/>
      <c r="S10" s="7"/>
      <c r="T10" s="7"/>
      <c r="V10" s="25"/>
      <c r="W10" s="7"/>
      <c r="X10" s="7"/>
      <c r="Y10" s="7"/>
      <c r="Z10" s="7"/>
      <c r="AA10" s="7"/>
      <c r="AB10" s="7"/>
      <c r="AC10" s="7"/>
      <c r="AD10" s="7"/>
      <c r="AE10" s="7"/>
      <c r="AF10" s="7"/>
      <c r="AG10" s="7"/>
    </row>
    <row r="11" spans="1:33" x14ac:dyDescent="0.25">
      <c r="A11" s="10" t="s">
        <v>671</v>
      </c>
      <c r="E11" s="1"/>
      <c r="F11" s="1"/>
      <c r="G11" s="7"/>
      <c r="H11" s="7"/>
      <c r="I11" s="30"/>
      <c r="J11" s="30"/>
      <c r="L11" s="25"/>
      <c r="M11" s="7"/>
      <c r="N11" s="7"/>
      <c r="O11" s="7"/>
      <c r="P11" s="7"/>
      <c r="Q11" s="7"/>
      <c r="R11" s="7"/>
      <c r="S11" s="7"/>
      <c r="T11" s="7"/>
      <c r="V11" s="25"/>
      <c r="W11" s="7"/>
      <c r="X11" s="7"/>
      <c r="Y11" s="7"/>
      <c r="Z11" s="7"/>
      <c r="AA11" s="7"/>
      <c r="AB11" s="7"/>
      <c r="AC11" s="7"/>
      <c r="AD11" s="7"/>
      <c r="AE11" s="7"/>
      <c r="AF11" s="7"/>
      <c r="AG11" s="7"/>
    </row>
    <row r="12" spans="1:33" x14ac:dyDescent="0.25">
      <c r="A12" t="s">
        <v>663</v>
      </c>
      <c r="B12" s="6">
        <v>0</v>
      </c>
      <c r="E12" s="1"/>
      <c r="F12" s="1"/>
      <c r="G12" s="7"/>
      <c r="H12" s="7"/>
      <c r="I12" s="30"/>
      <c r="J12" s="30"/>
      <c r="L12" s="25"/>
      <c r="M12" s="7"/>
      <c r="N12" s="7"/>
      <c r="O12" s="7"/>
      <c r="P12" s="7"/>
      <c r="Q12" s="7"/>
      <c r="R12" s="7"/>
      <c r="S12" s="7"/>
      <c r="T12" s="7"/>
      <c r="V12" s="25"/>
      <c r="W12" s="7"/>
      <c r="X12" s="7"/>
      <c r="Y12" s="7"/>
      <c r="Z12" s="7"/>
      <c r="AA12" s="7"/>
      <c r="AB12" s="7"/>
      <c r="AC12" s="7"/>
      <c r="AD12" s="7"/>
      <c r="AE12" s="7"/>
      <c r="AF12" s="7"/>
      <c r="AG12" s="7"/>
    </row>
    <row r="13" spans="1:33" x14ac:dyDescent="0.25">
      <c r="A13" t="s">
        <v>672</v>
      </c>
      <c r="B13" s="6" t="e">
        <f>Nodes</f>
        <v>#REF!</v>
      </c>
      <c r="E13" s="1"/>
      <c r="F13" s="1"/>
      <c r="G13" s="7"/>
      <c r="H13" s="7"/>
      <c r="I13" s="30"/>
      <c r="J13" s="30"/>
      <c r="L13" s="25"/>
      <c r="M13" s="7"/>
      <c r="N13" s="7"/>
      <c r="O13" s="7"/>
      <c r="P13" s="7"/>
      <c r="Q13" s="7"/>
      <c r="R13" s="7"/>
      <c r="S13" s="7"/>
      <c r="T13" s="7"/>
      <c r="V13" s="25"/>
      <c r="W13" s="7"/>
      <c r="X13" s="7"/>
      <c r="Y13" s="7"/>
      <c r="Z13" s="7"/>
      <c r="AA13" s="7"/>
      <c r="AB13" s="7"/>
      <c r="AC13" s="7"/>
      <c r="AD13" s="7"/>
      <c r="AE13" s="7"/>
      <c r="AF13" s="7"/>
      <c r="AG13" s="7"/>
    </row>
    <row r="14" spans="1:33" x14ac:dyDescent="0.25">
      <c r="A14" s="10" t="s">
        <v>673</v>
      </c>
      <c r="E14" s="1"/>
      <c r="F14" s="1"/>
      <c r="G14" s="7"/>
      <c r="H14" s="7"/>
      <c r="I14" s="30"/>
      <c r="J14" s="30"/>
      <c r="L14" s="25"/>
      <c r="M14" s="7"/>
      <c r="N14" s="7"/>
      <c r="O14" s="7"/>
      <c r="P14" s="7"/>
      <c r="Q14" s="7"/>
      <c r="R14" s="7"/>
      <c r="S14" s="7"/>
      <c r="T14" s="7"/>
      <c r="V14" s="25"/>
      <c r="W14" s="7"/>
      <c r="X14" s="7"/>
      <c r="Y14" s="7"/>
      <c r="Z14" s="7"/>
      <c r="AA14" s="7"/>
      <c r="AB14" s="7"/>
      <c r="AC14" s="7"/>
      <c r="AD14" s="7"/>
      <c r="AE14" s="7"/>
      <c r="AF14" s="7"/>
      <c r="AG14" s="7"/>
    </row>
    <row r="15" spans="1:33" x14ac:dyDescent="0.25">
      <c r="A15" t="s">
        <v>674</v>
      </c>
      <c r="B15" s="721" t="s">
        <v>675</v>
      </c>
      <c r="C15" s="722"/>
      <c r="D15" s="722"/>
      <c r="E15" s="1"/>
      <c r="F15" s="1"/>
      <c r="G15" s="7"/>
      <c r="H15" s="7"/>
      <c r="I15" s="30"/>
      <c r="J15" s="30"/>
      <c r="L15" s="25"/>
      <c r="M15" s="7"/>
      <c r="N15" s="7"/>
      <c r="O15" s="7"/>
      <c r="P15" s="7"/>
      <c r="Q15" s="7"/>
      <c r="R15" s="7"/>
      <c r="S15" s="7"/>
      <c r="T15" s="7"/>
      <c r="V15" s="25"/>
      <c r="W15" s="7"/>
      <c r="X15" s="7"/>
      <c r="Y15" s="7"/>
      <c r="Z15" s="7"/>
      <c r="AA15" s="7"/>
      <c r="AB15" s="7"/>
      <c r="AC15" s="7"/>
      <c r="AD15" s="7"/>
      <c r="AE15" s="7"/>
      <c r="AF15" s="7"/>
      <c r="AG15" s="7"/>
    </row>
    <row r="16" spans="1:33" x14ac:dyDescent="0.25">
      <c r="E16" s="1"/>
      <c r="F16" s="1"/>
      <c r="G16" s="7"/>
      <c r="H16" s="7"/>
      <c r="I16" s="30"/>
      <c r="J16" s="30"/>
      <c r="L16" s="25"/>
      <c r="M16" s="7"/>
      <c r="N16" s="7"/>
      <c r="O16" s="7"/>
      <c r="P16" s="7"/>
      <c r="Q16" s="7"/>
      <c r="R16" s="7"/>
      <c r="S16" s="7"/>
      <c r="T16" s="7"/>
      <c r="V16" s="25"/>
      <c r="W16" s="7"/>
      <c r="X16" s="7"/>
      <c r="Y16" s="7"/>
      <c r="Z16" s="7"/>
      <c r="AA16" s="7"/>
      <c r="AB16" s="7"/>
      <c r="AC16" s="7"/>
      <c r="AD16" s="7"/>
      <c r="AE16" s="7"/>
      <c r="AF16" s="7"/>
      <c r="AG16" s="7"/>
    </row>
    <row r="17" spans="1:10" ht="20.25" thickBot="1" x14ac:dyDescent="0.35">
      <c r="A17" s="3" t="s">
        <v>676</v>
      </c>
      <c r="E17" s="1"/>
      <c r="F17" s="1"/>
      <c r="G17" s="7"/>
      <c r="H17" s="7"/>
      <c r="I17" s="1"/>
      <c r="J17" s="1"/>
    </row>
    <row r="18" spans="1:10" ht="15.75" thickTop="1" x14ac:dyDescent="0.25">
      <c r="A18" s="10" t="s">
        <v>677</v>
      </c>
      <c r="B18" s="8" t="s">
        <v>257</v>
      </c>
      <c r="C18" s="8" t="s">
        <v>678</v>
      </c>
    </row>
    <row r="19" spans="1:10" x14ac:dyDescent="0.25">
      <c r="A19" s="11" t="s">
        <v>679</v>
      </c>
      <c r="B19" s="12" t="e">
        <f>IF(ParityEfficiency=0,MinAvailTB,AllocRawTB/(DesiredMirrorPct*MirrorCopies+(1-DesiredMirrorPct)*(1/ParityEfficiency)))</f>
        <v>#REF!</v>
      </c>
      <c r="C19" s="12" t="e">
        <f>B19*POWER(10,12)/POWER(2,40)</f>
        <v>#REF!</v>
      </c>
    </row>
    <row r="20" spans="1:10" x14ac:dyDescent="0.25">
      <c r="A20" s="11" t="s">
        <v>680</v>
      </c>
      <c r="B20" s="12" t="e">
        <f>ActualAvailableTB*DesiredMirrorPct</f>
        <v>#REF!</v>
      </c>
      <c r="C20" s="12" t="e">
        <f>B20*POWER(10,12)/POWER(2,40)</f>
        <v>#REF!</v>
      </c>
    </row>
    <row r="21" spans="1:10" x14ac:dyDescent="0.25">
      <c r="A21" s="11" t="s">
        <v>681</v>
      </c>
      <c r="B21" s="12" t="e">
        <f>ActualAvailableTB-B20</f>
        <v>#REF!</v>
      </c>
      <c r="C21" s="12" t="e">
        <f>B21*POWER(10,12)/POWER(2,40)</f>
        <v>#REF!</v>
      </c>
    </row>
    <row r="22" spans="1:10" x14ac:dyDescent="0.25">
      <c r="A22" t="s">
        <v>682</v>
      </c>
      <c r="B22" s="7" t="e">
        <f>AllocRawTB/MirrorCopies</f>
        <v>#REF!</v>
      </c>
      <c r="C22" s="7" t="e">
        <f>MinAvailTB*POWER(10,12)/POWER(2,40)</f>
        <v>#REF!</v>
      </c>
    </row>
    <row r="23" spans="1:10" x14ac:dyDescent="0.25">
      <c r="A23" t="s">
        <v>683</v>
      </c>
      <c r="B23" s="7" t="e">
        <f>IF(ParityEfficiency=0,MinAvailTB,AllocRawTB*ParityEfficiency)</f>
        <v>#REF!</v>
      </c>
      <c r="C23" s="7" t="e">
        <f>MaxAvailTB*POWER(10,12)/POWER(2,40)</f>
        <v>#REF!</v>
      </c>
    </row>
    <row r="24" spans="1:10" x14ac:dyDescent="0.25">
      <c r="A24" s="10" t="s">
        <v>684</v>
      </c>
      <c r="B24" s="8" t="s">
        <v>257</v>
      </c>
      <c r="C24" s="8" t="s">
        <v>678</v>
      </c>
    </row>
    <row r="25" spans="1:10" x14ac:dyDescent="0.25">
      <c r="A25" t="s">
        <v>684</v>
      </c>
      <c r="B25" s="7" t="e">
        <f>Nodes*NodeCapDev*CapDevSize</f>
        <v>#REF!</v>
      </c>
      <c r="C25" s="7" t="e">
        <f>RawCapacityTB*(POWER(10,12)/POWER(2,40))</f>
        <v>#REF!</v>
      </c>
    </row>
    <row r="26" spans="1:10" x14ac:dyDescent="0.25">
      <c r="A26" t="s">
        <v>685</v>
      </c>
      <c r="B26" s="7" t="e">
        <f>RawCapacityTB-AllocRawTB</f>
        <v>#REF!</v>
      </c>
      <c r="C26" s="7" t="e">
        <f>RegenReserveTB*(POWER(10,12)/POWER(2,40))</f>
        <v>#REF!</v>
      </c>
    </row>
    <row r="27" spans="1:10" x14ac:dyDescent="0.25">
      <c r="A27" t="s">
        <v>686</v>
      </c>
      <c r="B27" s="7" t="e">
        <f>IF(InNodeRegen,(NodeCapDev-AddlCapDevRegen)*NodesMin*CapDevSize,(NodeCapDev*NodesMin-AddlCapDevRegen)*CapDevSize)</f>
        <v>#REF!</v>
      </c>
      <c r="C27" s="7" t="e">
        <f>AllocRawTB*(POWER(10,12)/POWER(2,40))</f>
        <v>#REF!</v>
      </c>
    </row>
    <row r="28" spans="1:10" x14ac:dyDescent="0.25">
      <c r="A28" s="10" t="s">
        <v>687</v>
      </c>
      <c r="B28" s="2"/>
      <c r="C28" s="2"/>
    </row>
    <row r="29" spans="1:10" x14ac:dyDescent="0.25">
      <c r="A29" t="s">
        <v>688</v>
      </c>
      <c r="B29" s="4" t="e">
        <f>IF(CacheDevSize&gt;0,((CacheDevSize-MDReserve*(POWER(2,30)/POWER(10,12)))*NodeCacheDev)/(ActualAvailableTB/Nodes),0)</f>
        <v>#REF!</v>
      </c>
    </row>
    <row r="30" spans="1:10" x14ac:dyDescent="0.25">
      <c r="A30" t="s">
        <v>689</v>
      </c>
      <c r="B30" t="e">
        <f>MIN(FLOOR(NodesMin-ParityGroups-ParityGlobal,2),ParityMaxLocalDataSymbols)*ParityGroups</f>
        <v>#REF!</v>
      </c>
    </row>
    <row r="31" spans="1:10" x14ac:dyDescent="0.25">
      <c r="A31" t="s">
        <v>690</v>
      </c>
      <c r="B31" t="e">
        <f>MIN(7,MAX(1,ROUNDDOWN((NodesMin-ParityGlobal)/(ParityMaxLocalDataSymbols+1),0)))</f>
        <v>#REF!</v>
      </c>
    </row>
    <row r="32" spans="1:10" x14ac:dyDescent="0.25">
      <c r="A32" t="s">
        <v>691</v>
      </c>
      <c r="B32">
        <v>1</v>
      </c>
    </row>
    <row r="33" spans="1:2" x14ac:dyDescent="0.25">
      <c r="A33" t="s">
        <v>692</v>
      </c>
      <c r="B33">
        <f>VLOOKUP(ParityOptimization,Reference_Support!A7:B9,2,FALSE)</f>
        <v>4</v>
      </c>
    </row>
    <row r="34" spans="1:2" x14ac:dyDescent="0.25">
      <c r="A34" t="s">
        <v>693</v>
      </c>
      <c r="B34" s="1" t="e">
        <f>IF(ParityDataSymbols&lt;2,0,ParityDataSymbols/(ParityDataSymbols+ParityGroups+ParityGlobal))</f>
        <v>#REF!</v>
      </c>
    </row>
    <row r="35" spans="1:2" x14ac:dyDescent="0.25">
      <c r="A35" t="s">
        <v>447</v>
      </c>
      <c r="B35" t="e">
        <f>IF(Nodes&lt;3,2,3)</f>
        <v>#REF!</v>
      </c>
    </row>
    <row r="36" spans="1:2" x14ac:dyDescent="0.25">
      <c r="A36" t="s">
        <v>694</v>
      </c>
      <c r="B36" s="1" t="e">
        <f>RegenReserveTB/RawCapacityTB</f>
        <v>#REF!</v>
      </c>
    </row>
    <row r="37" spans="1:2" x14ac:dyDescent="0.25">
      <c r="A37" t="s">
        <v>695</v>
      </c>
      <c r="B37" t="e">
        <f>Nodes-NodesRegen</f>
        <v>#REF!</v>
      </c>
    </row>
    <row r="38" spans="1:2" x14ac:dyDescent="0.25">
      <c r="A38" t="s">
        <v>696</v>
      </c>
      <c r="B38" t="e">
        <f>OR(AND(DesiredMirrorPct &lt; 100%,ParityDataSymbols+ParityGroups+ParityGlobal=NodesMin),MirrorCopies=NodesMin)</f>
        <v>#REF!</v>
      </c>
    </row>
  </sheetData>
  <mergeCells count="1">
    <mergeCell ref="B15:D15"/>
  </mergeCells>
  <conditionalFormatting sqref="G3:H3">
    <cfRule type="duplicateValues" dxfId="0" priority="1"/>
  </conditionalFormatting>
  <dataValidations count="1">
    <dataValidation type="custom" allowBlank="1" showInputMessage="1" showErrorMessage="1" errorTitle="Too Many Devices" error="Please specify a number of devices less than the total number of capacity devices per node." sqref="B13" xr:uid="{00000000-0002-0000-1000-000000000000}">
      <formula1>NodeCapDev&gt;AddlCapDevRegen</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errorTitle="Mirror Copies" error="The number of mirror copies must not be greater than node count after accounting for node failure requirements (i.e., 3 copy is not possible on 2 nodes)." xr:uid="{00000000-0002-0000-1000-000001000000}">
          <x14:formula1>
            <xm:f>Reference_Support!$A$7:$A$9</xm:f>
          </x14:formula1>
          <xm:sqref>B15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B9"/>
  <sheetViews>
    <sheetView topLeftCell="A16" workbookViewId="0">
      <selection activeCell="L19" sqref="L19"/>
    </sheetView>
  </sheetViews>
  <sheetFormatPr defaultColWidth="8.85546875" defaultRowHeight="15" x14ac:dyDescent="0.25"/>
  <cols>
    <col min="1" max="1" width="21.140625" customWidth="1"/>
  </cols>
  <sheetData>
    <row r="1" spans="1:2" x14ac:dyDescent="0.25">
      <c r="A1" t="s">
        <v>697</v>
      </c>
    </row>
    <row r="2" spans="1:2" x14ac:dyDescent="0.25">
      <c r="A2" t="b">
        <f>TRUE</f>
        <v>1</v>
      </c>
    </row>
    <row r="3" spans="1:2" x14ac:dyDescent="0.25">
      <c r="A3" t="b">
        <f>FALSE</f>
        <v>0</v>
      </c>
    </row>
    <row r="5" spans="1:2" x14ac:dyDescent="0.25">
      <c r="A5" t="s">
        <v>698</v>
      </c>
    </row>
    <row r="6" spans="1:2" x14ac:dyDescent="0.25">
      <c r="A6" t="s">
        <v>138</v>
      </c>
      <c r="B6" t="s">
        <v>699</v>
      </c>
    </row>
    <row r="7" spans="1:2" x14ac:dyDescent="0.25">
      <c r="A7" t="s">
        <v>700</v>
      </c>
      <c r="B7">
        <v>2</v>
      </c>
    </row>
    <row r="8" spans="1:2" x14ac:dyDescent="0.25">
      <c r="A8" t="s">
        <v>675</v>
      </c>
      <c r="B8">
        <v>4</v>
      </c>
    </row>
    <row r="9" spans="1:2" x14ac:dyDescent="0.25">
      <c r="A9" t="s">
        <v>701</v>
      </c>
      <c r="B9">
        <v>6</v>
      </c>
    </row>
  </sheetData>
  <pageMargins left="0.7" right="0.7" top="0.75" bottom="0.75" header="0.3" footer="0.3"/>
  <pageSetup orientation="portrait" horizontalDpi="0" verticalDpi="0" r:id="rId1"/>
  <drawing r:id="rId2"/>
</worksheet>
</file>

<file path=docMetadata/LabelInfo.xml><?xml version="1.0" encoding="utf-8"?>
<clbl:labelList xmlns:clbl="http://schemas.microsoft.com/office/2020/mipLabelMetadata">
  <clbl:label id="{f42aa342-8706-4288-bd11-ebb85995028c}" enabled="1" method="Privileged" siteId="{72f988bf-86f1-41af-91ab-2d7cd011db47}"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16</vt:i4>
      </vt:variant>
      <vt:variant>
        <vt:lpstr>Named Ranges</vt:lpstr>
      </vt:variant>
      <vt:variant>
        <vt:i4>1799</vt:i4>
      </vt:variant>
    </vt:vector>
  </HeadingPairs>
  <TitlesOfParts>
    <vt:vector size="1815" baseType="lpstr">
      <vt:lpstr>Version-Disclaimer</vt:lpstr>
      <vt:lpstr>Instructions</vt:lpstr>
      <vt:lpstr>DefinedSolutionSKUs</vt:lpstr>
      <vt:lpstr>DefineByVMFootprint</vt:lpstr>
      <vt:lpstr>DefineByWorkloadFootprint</vt:lpstr>
      <vt:lpstr>GPUReferencePage</vt:lpstr>
      <vt:lpstr>SKUsRecommendationPage</vt:lpstr>
      <vt:lpstr>Charting</vt:lpstr>
      <vt:lpstr>Reference_AzureStackInputs</vt:lpstr>
      <vt:lpstr>Ref_WorkloadSolutionSizing_RPs</vt:lpstr>
      <vt:lpstr>TempStorageTables</vt:lpstr>
      <vt:lpstr>DefineSolutionSKUs_Tables</vt:lpstr>
      <vt:lpstr>ChangeLog</vt:lpstr>
      <vt:lpstr>Reference_StorageCapacity</vt:lpstr>
      <vt:lpstr>Ref_WorkloadStorageCapacity</vt:lpstr>
      <vt:lpstr>Reference_Support</vt:lpstr>
      <vt:lpstr>Ref_WorkloadStorageCapacity!ActualAvailableTB</vt:lpstr>
      <vt:lpstr>ActualAvailableTB</vt:lpstr>
      <vt:lpstr>ActualAvailableTenantTB</vt:lpstr>
      <vt:lpstr>Ref_WorkloadStorageCapacity!AddlCapDevRegen</vt:lpstr>
      <vt:lpstr>AddlCapDevRegen</vt:lpstr>
      <vt:lpstr>Allocated_VtoP_CPU_Ratio</vt:lpstr>
      <vt:lpstr>Ref_WorkloadStorageCapacity!AllocRawTB</vt:lpstr>
      <vt:lpstr>AllocRawTB</vt:lpstr>
      <vt:lpstr>Ref_WorkloadStorageCapacity!AllocRawTiB</vt:lpstr>
      <vt:lpstr>AllocRawTiB</vt:lpstr>
      <vt:lpstr>AMD_GPUType_Selection_Check</vt:lpstr>
      <vt:lpstr>AMD_Mi25</vt:lpstr>
      <vt:lpstr>Amount_Memory_SKU1</vt:lpstr>
      <vt:lpstr>Amount_Memory_SKU2</vt:lpstr>
      <vt:lpstr>Amount_Memory_SKU3</vt:lpstr>
      <vt:lpstr>Amount_Memory_SKU4</vt:lpstr>
      <vt:lpstr>Amount_Memory_SKU5</vt:lpstr>
      <vt:lpstr>Amount_Memory_SKU6</vt:lpstr>
      <vt:lpstr>Amount_Tenant_Memory_SKU1</vt:lpstr>
      <vt:lpstr>Amount_Tenant_Memory_SKU2</vt:lpstr>
      <vt:lpstr>Amount_Tenant_Memory_SKU3</vt:lpstr>
      <vt:lpstr>Amount_Tenant_Memory_SKU4</vt:lpstr>
      <vt:lpstr>Amount_Tenant_Memory_SKU5</vt:lpstr>
      <vt:lpstr>Amount_Tenant_Memory_SKU6</vt:lpstr>
      <vt:lpstr>Amount_Workload_Memory_SKU1</vt:lpstr>
      <vt:lpstr>Amount_Workload_Memory_SKU2</vt:lpstr>
      <vt:lpstr>Amount_Workload_Memory_SKU3</vt:lpstr>
      <vt:lpstr>Amount_Workload_Memory_SKU4</vt:lpstr>
      <vt:lpstr>Amount_Workload_Memory_SKU5</vt:lpstr>
      <vt:lpstr>Available_Disk_Storage_SKU1</vt:lpstr>
      <vt:lpstr>Available_Disk_Storage_SKU2</vt:lpstr>
      <vt:lpstr>Available_Disk_Storage_SKU3</vt:lpstr>
      <vt:lpstr>Available_Disk_Storage_SKU4</vt:lpstr>
      <vt:lpstr>Available_Disk_Storage_SKU5</vt:lpstr>
      <vt:lpstr>Available_Disk_Storage_SKU6</vt:lpstr>
      <vt:lpstr>Available_Temp_Disk_SKU1</vt:lpstr>
      <vt:lpstr>Available_Temp_Disk_SKU2</vt:lpstr>
      <vt:lpstr>Available_Temp_Disk_SKU3</vt:lpstr>
      <vt:lpstr>Available_Temp_Disk_SKU4</vt:lpstr>
      <vt:lpstr>Available_Temp_Disk_SKU5</vt:lpstr>
      <vt:lpstr>Available_Temp_Disk_SKU6</vt:lpstr>
      <vt:lpstr>Available_Tenant_Disk_Storage_SKU1</vt:lpstr>
      <vt:lpstr>Available_Tenant_Disk_Storage_SKU2</vt:lpstr>
      <vt:lpstr>Available_Tenant_Disk_Storage_SKU3</vt:lpstr>
      <vt:lpstr>Available_Tenant_Disk_Storage_SKU4</vt:lpstr>
      <vt:lpstr>Available_Tenant_Disk_Storage_SKU5</vt:lpstr>
      <vt:lpstr>Available_Tenant_Disk_Storage_SKU6</vt:lpstr>
      <vt:lpstr>Available_Tenant_Temp_Disk_SKU1</vt:lpstr>
      <vt:lpstr>Available_Tenant_Temp_Disk_SKU2</vt:lpstr>
      <vt:lpstr>Available_Tenant_Temp_Disk_SKU3</vt:lpstr>
      <vt:lpstr>Available_Tenant_Temp_Disk_SKU4</vt:lpstr>
      <vt:lpstr>Available_Tenant_Temp_Disk_SKU5</vt:lpstr>
      <vt:lpstr>Available_Tenant_Temp_Disk_SKU6</vt:lpstr>
      <vt:lpstr>Available_Workload_Disk_Storage_SKU1</vt:lpstr>
      <vt:lpstr>Available_Workload_Disk_Storage_SKU2</vt:lpstr>
      <vt:lpstr>Available_Workload_Disk_Storage_SKU3</vt:lpstr>
      <vt:lpstr>Available_Workload_Disk_Storage_SKU4</vt:lpstr>
      <vt:lpstr>Available_Workload_Disk_Storage_SKU5</vt:lpstr>
      <vt:lpstr>Available_Workload_Temp_Disk_SKU1</vt:lpstr>
      <vt:lpstr>Available_Workload_Temp_Disk_SKU2</vt:lpstr>
      <vt:lpstr>Available_Workload_Temp_Disk_SKU3</vt:lpstr>
      <vt:lpstr>Available_Workload_Temp_Disk_SKU4</vt:lpstr>
      <vt:lpstr>Available_Workload_Temp_Disk_SKU5</vt:lpstr>
      <vt:lpstr>AzureStackInfrastructureStorageTotal</vt:lpstr>
      <vt:lpstr>AzureStackInfrastructureTotalMemory</vt:lpstr>
      <vt:lpstr>AzureStackInfrastructureTotalVCPU</vt:lpstr>
      <vt:lpstr>Basic_A0_Cores</vt:lpstr>
      <vt:lpstr>Basic_A0_Disk</vt:lpstr>
      <vt:lpstr>Basic_A0_Memory</vt:lpstr>
      <vt:lpstr>Basic_A0_Temp</vt:lpstr>
      <vt:lpstr>Basic_A1_Cores</vt:lpstr>
      <vt:lpstr>Basic_A1_Disk</vt:lpstr>
      <vt:lpstr>Basic_A1_Memory</vt:lpstr>
      <vt:lpstr>Basic_A1_Temp</vt:lpstr>
      <vt:lpstr>Basic_A2_Cores</vt:lpstr>
      <vt:lpstr>Basic_A2_Disk</vt:lpstr>
      <vt:lpstr>Basic_A2_Memory</vt:lpstr>
      <vt:lpstr>Basic_A2_Temp</vt:lpstr>
      <vt:lpstr>Basic_A3_Cores</vt:lpstr>
      <vt:lpstr>Basic_A3_Disk</vt:lpstr>
      <vt:lpstr>Basic_A3_Memory</vt:lpstr>
      <vt:lpstr>Basic_A3_Temp</vt:lpstr>
      <vt:lpstr>Basic_A4_Cores</vt:lpstr>
      <vt:lpstr>Basic_A4_Disk</vt:lpstr>
      <vt:lpstr>Basic_A4_Memory</vt:lpstr>
      <vt:lpstr>Basic_A4_Temp</vt:lpstr>
      <vt:lpstr>Ref_WorkloadStorageCapacity!CacheDevSize</vt:lpstr>
      <vt:lpstr>CacheDevSize</vt:lpstr>
      <vt:lpstr>Ref_WorkloadStorageCapacity!CapDevSize</vt:lpstr>
      <vt:lpstr>CapDevSize</vt:lpstr>
      <vt:lpstr>DefineByVMFootprint!ComputeStorageScaleUnitSize</vt:lpstr>
      <vt:lpstr>Ref_WorkloadStorageCapacity!ComputeStorageScaleUnitSize</vt:lpstr>
      <vt:lpstr>ComputeStorageScaleUnitSize</vt:lpstr>
      <vt:lpstr>Consumed_Tenant_CPU_Cores</vt:lpstr>
      <vt:lpstr>Consumed_Tenant_Disk</vt:lpstr>
      <vt:lpstr>Consumed_Tenant_Memory</vt:lpstr>
      <vt:lpstr>Consumed_Tenant_TempDisk</vt:lpstr>
      <vt:lpstr>Consumed_Tenant1_VM_Cores</vt:lpstr>
      <vt:lpstr>Consumed_Tenant1_VM_Disk</vt:lpstr>
      <vt:lpstr>Consumed_Tenant1_VM_Memory</vt:lpstr>
      <vt:lpstr>Consumed_Tenant1_VM_Temp</vt:lpstr>
      <vt:lpstr>Consumed_Tenant2_VM_Cores</vt:lpstr>
      <vt:lpstr>Consumed_Tenant2_VM_Disk</vt:lpstr>
      <vt:lpstr>Consumed_Tenant2_VM_Memory</vt:lpstr>
      <vt:lpstr>Consumed_Tenant2_VM_Temp</vt:lpstr>
      <vt:lpstr>Consumed_Tenant3_VM_Cores</vt:lpstr>
      <vt:lpstr>Consumed_Tenant3_VM_Disk</vt:lpstr>
      <vt:lpstr>Consumed_Tenant3_VM_Memory</vt:lpstr>
      <vt:lpstr>Consumed_Tenant3_VM_Temp</vt:lpstr>
      <vt:lpstr>Consumed_Tenant4_VM_Cores</vt:lpstr>
      <vt:lpstr>Consumed_Tenant4_VM_Disk</vt:lpstr>
      <vt:lpstr>Consumed_Tenant4_VM_Memory</vt:lpstr>
      <vt:lpstr>Consumed_Tenant4_VM_Temp</vt:lpstr>
      <vt:lpstr>Consumed_Tenant5_VM_Cores</vt:lpstr>
      <vt:lpstr>Consumed_Tenant5_VM_Disk</vt:lpstr>
      <vt:lpstr>Consumed_Tenant5_VM_Memory</vt:lpstr>
      <vt:lpstr>Consumed_Tenant5_VM_Temp</vt:lpstr>
      <vt:lpstr>Consumed_Tenant6_VM_Cores</vt:lpstr>
      <vt:lpstr>Consumed_Tenant6_VM_Disk</vt:lpstr>
      <vt:lpstr>Consumed_Tenant6_VM_Memory</vt:lpstr>
      <vt:lpstr>Consumed_Tenant6_VM_Temp</vt:lpstr>
      <vt:lpstr>Consumed_VM_CPU_Cores</vt:lpstr>
      <vt:lpstr>Consumed_VM_External_Storage</vt:lpstr>
      <vt:lpstr>Consumed_VM_GPU_Number</vt:lpstr>
      <vt:lpstr>Consumed_VM_Memory</vt:lpstr>
      <vt:lpstr>Consumed_VM_Temp_Storage</vt:lpstr>
      <vt:lpstr>DefineDesiredVMResourcesTop</vt:lpstr>
      <vt:lpstr>DefinedSolutionSKUsTop</vt:lpstr>
      <vt:lpstr>Ref_WorkloadStorageCapacity!DesiredMirrorPct</vt:lpstr>
      <vt:lpstr>DesiredMirrorPct</vt:lpstr>
      <vt:lpstr>GPUTypeSelected</vt:lpstr>
      <vt:lpstr>HostMemorySpacesDirectCachePercent</vt:lpstr>
      <vt:lpstr>HyperV_Reserve</vt:lpstr>
      <vt:lpstr>Ref_WorkloadStorageCapacity!InNodeRegen</vt:lpstr>
      <vt:lpstr>InNodeRegen</vt:lpstr>
      <vt:lpstr>Largest_HA_Tenant_Memory</vt:lpstr>
      <vt:lpstr>Largest_HA_VM_Memory</vt:lpstr>
      <vt:lpstr>Largest_Infra_VM_GPUonly</vt:lpstr>
      <vt:lpstr>Ref_WorkloadStorageCapacity!MaxAvailTB</vt:lpstr>
      <vt:lpstr>MaxAvailTB</vt:lpstr>
      <vt:lpstr>Ref_WorkloadStorageCapacity!MDReserve</vt:lpstr>
      <vt:lpstr>MDReserve</vt:lpstr>
      <vt:lpstr>Ref_WorkloadStorageCapacity!MinAvailTB</vt:lpstr>
      <vt:lpstr>MinAvailTB</vt:lpstr>
      <vt:lpstr>Ref_WorkloadStorageCapacity!MirrorCopies</vt:lpstr>
      <vt:lpstr>MirrorCopies</vt:lpstr>
      <vt:lpstr>NC24ads_A100_v4_Series_Total_GPU</vt:lpstr>
      <vt:lpstr>NC24ads_A100_v4_Series_Total_GPUMemory</vt:lpstr>
      <vt:lpstr>NCasT4_V3_Series_Total_GPUMemory</vt:lpstr>
      <vt:lpstr>NCasT4_V3_Total_GPUMemory</vt:lpstr>
      <vt:lpstr>NCastT4_V3_Series_Total_GPU</vt:lpstr>
      <vt:lpstr>NCv3_Series_Total_GPU</vt:lpstr>
      <vt:lpstr>NCv3_Series_Total_GPUMemory</vt:lpstr>
      <vt:lpstr>Ref_WorkloadStorageCapacity!NodeCacheDev</vt:lpstr>
      <vt:lpstr>NodeCacheDev</vt:lpstr>
      <vt:lpstr>Ref_WorkloadStorageCapacity!NodeCapDev</vt:lpstr>
      <vt:lpstr>NodeCapDev</vt:lpstr>
      <vt:lpstr>Ref_WorkloadStorageCapacity!Nodes</vt:lpstr>
      <vt:lpstr>Nodes</vt:lpstr>
      <vt:lpstr>Ref_WorkloadStorageCapacity!NodesMin</vt:lpstr>
      <vt:lpstr>NodesMin</vt:lpstr>
      <vt:lpstr>Ref_WorkloadStorageCapacity!NodesRegen</vt:lpstr>
      <vt:lpstr>NodesRegen</vt:lpstr>
      <vt:lpstr>NUmber_CPU_Cores_SKU1</vt:lpstr>
      <vt:lpstr>NUmber_CPU_Cores_SKU2</vt:lpstr>
      <vt:lpstr>NUmber_CPU_Cores_SKU3</vt:lpstr>
      <vt:lpstr>NUmber_CPU_Cores_SKU4</vt:lpstr>
      <vt:lpstr>NUmber_CPU_Cores_SKU5</vt:lpstr>
      <vt:lpstr>NUmber_CPU_Cores_SKU6</vt:lpstr>
      <vt:lpstr>Number_Tenant_CPU_Cores_SKU1</vt:lpstr>
      <vt:lpstr>Number_Tenant_CPU_Cores_SKU2</vt:lpstr>
      <vt:lpstr>Number_Tenant_CPU_Cores_SKU3</vt:lpstr>
      <vt:lpstr>Number_Tenant_CPU_Cores_SKU4</vt:lpstr>
      <vt:lpstr>Number_Tenant_CPU_Cores_SKU5</vt:lpstr>
      <vt:lpstr>Number_Tenant_CPU_Cores_SKU6</vt:lpstr>
      <vt:lpstr>Number_Workload_CPU_Cores_SKU1</vt:lpstr>
      <vt:lpstr>Number_Workload_CPU_Cores_SKU2</vt:lpstr>
      <vt:lpstr>Number_Workload_CPU_Cores_SKU3</vt:lpstr>
      <vt:lpstr>Number_Workload_CPU_Cores_SKU4</vt:lpstr>
      <vt:lpstr>Number_Workload_CPU_Cores_SKU5</vt:lpstr>
      <vt:lpstr>NVIDIA_A100_SelectionType</vt:lpstr>
      <vt:lpstr>NVIDIA_T4</vt:lpstr>
      <vt:lpstr>NVIDIA_T4_SelectionType</vt:lpstr>
      <vt:lpstr>NVIDIA_v100</vt:lpstr>
      <vt:lpstr>NVIDIA_v100_SelectionType</vt:lpstr>
      <vt:lpstr>NVV4_Total_GPU</vt:lpstr>
      <vt:lpstr>NVV4_Total_GPUMemory</vt:lpstr>
      <vt:lpstr>Ref_WorkloadStorageCapacity!ParityDataSymbols</vt:lpstr>
      <vt:lpstr>ParityDataSymbols</vt:lpstr>
      <vt:lpstr>Ref_WorkloadStorageCapacity!ParityEfficiency</vt:lpstr>
      <vt:lpstr>ParityEfficiency</vt:lpstr>
      <vt:lpstr>Ref_WorkloadStorageCapacity!ParityGlobal</vt:lpstr>
      <vt:lpstr>ParityGlobal</vt:lpstr>
      <vt:lpstr>Ref_WorkloadStorageCapacity!ParityGroups</vt:lpstr>
      <vt:lpstr>ParityGroups</vt:lpstr>
      <vt:lpstr>Ref_WorkloadStorageCapacity!ParityMaxLocalDataSymbols</vt:lpstr>
      <vt:lpstr>ParityMaxLocalDataSymbols</vt:lpstr>
      <vt:lpstr>Ref_WorkloadStorageCapacity!ParityOptimization</vt:lpstr>
      <vt:lpstr>ParityOptimization</vt:lpstr>
      <vt:lpstr>PercentagePhysicalMemoryUsedbyHost</vt:lpstr>
      <vt:lpstr>Ref_WorkloadStorageCapacity!PreferLRCFT</vt:lpstr>
      <vt:lpstr>PreferLRCFT</vt:lpstr>
      <vt:lpstr>Qty_sample</vt:lpstr>
      <vt:lpstr>Quantity_Basic_A0</vt:lpstr>
      <vt:lpstr>Quantity_Basic_A1</vt:lpstr>
      <vt:lpstr>Quantity_Basic_A2</vt:lpstr>
      <vt:lpstr>Quantity_Basic_A3</vt:lpstr>
      <vt:lpstr>Quantity_Basic_A4</vt:lpstr>
      <vt:lpstr>Quantity_Inv_VM_Cores_Tenant1</vt:lpstr>
      <vt:lpstr>Quantity_Inv_VM_Cores_Tenant2</vt:lpstr>
      <vt:lpstr>Quantity_Inv_VM_Cores_Tenant3</vt:lpstr>
      <vt:lpstr>Quantity_Inv_VM_Cores_Tenant4</vt:lpstr>
      <vt:lpstr>Quantity_Inv_VM_Cores_Tenant5</vt:lpstr>
      <vt:lpstr>Quantity_Inv_VM_Cores_Tenant6</vt:lpstr>
      <vt:lpstr>Quantity_Inv_VM_Disk_Tenant1</vt:lpstr>
      <vt:lpstr>Quantity_Inv_VM_Disk_Tenant2</vt:lpstr>
      <vt:lpstr>Quantity_Inv_VM_Disk_Tenant3</vt:lpstr>
      <vt:lpstr>Quantity_Inv_VM_Disk_Tenant4</vt:lpstr>
      <vt:lpstr>Quantity_Inv_VM_Disk_Tenant5</vt:lpstr>
      <vt:lpstr>Quantity_Inv_VM_Disk_Tenant6</vt:lpstr>
      <vt:lpstr>Quantity_Inv_VM_Memory_Tenant1</vt:lpstr>
      <vt:lpstr>Quantity_Inv_VM_Memory_Tenant2</vt:lpstr>
      <vt:lpstr>Quantity_Inv_VM_Memory_Tenant3</vt:lpstr>
      <vt:lpstr>Quantity_Inv_VM_Memory_Tenant4</vt:lpstr>
      <vt:lpstr>Quantity_Inv_VM_Memory_Tenant5</vt:lpstr>
      <vt:lpstr>Quantity_Inv_VM_Memory_Tenant6</vt:lpstr>
      <vt:lpstr>Quantity_Inv_VM_Temp_Tenant1</vt:lpstr>
      <vt:lpstr>Quantity_Inv_VM_Temp_Tenant2</vt:lpstr>
      <vt:lpstr>Quantity_Inv_VM_Temp_Tenant3</vt:lpstr>
      <vt:lpstr>Quantity_Inv_VM_Temp_Tenant4</vt:lpstr>
      <vt:lpstr>Quantity_Inv_VM_Temp_Tenant5</vt:lpstr>
      <vt:lpstr>Quantity_Inv_VM_Temp_Tenant6</vt:lpstr>
      <vt:lpstr>Quantity_Standard_A0</vt:lpstr>
      <vt:lpstr>Quantity_Standard_A1</vt:lpstr>
      <vt:lpstr>Quantity_Standard_A1_v2</vt:lpstr>
      <vt:lpstr>Quantity_Standard_A2</vt:lpstr>
      <vt:lpstr>Quantity_Standard_A2_v2</vt:lpstr>
      <vt:lpstr>Quantity_Standard_A2m_v2</vt:lpstr>
      <vt:lpstr>Quantity_Standard_A3</vt:lpstr>
      <vt:lpstr>Quantity_Standard_A4</vt:lpstr>
      <vt:lpstr>Quantity_Standard_A4_v2</vt:lpstr>
      <vt:lpstr>Quantity_Standard_A4m_v2</vt:lpstr>
      <vt:lpstr>Quantity_Standard_A5</vt:lpstr>
      <vt:lpstr>Quantity_Standard_A6</vt:lpstr>
      <vt:lpstr>Quantity_Standard_A7</vt:lpstr>
      <vt:lpstr>Quantity_Standard_A8_v2</vt:lpstr>
      <vt:lpstr>Quantity_Standard_A8m_v2</vt:lpstr>
      <vt:lpstr>Quantity_Standard_D1</vt:lpstr>
      <vt:lpstr>Quantity_Standard_D1_v2</vt:lpstr>
      <vt:lpstr>Quantity_Standard_D11</vt:lpstr>
      <vt:lpstr>Quantity_Standard_D11_v2</vt:lpstr>
      <vt:lpstr>Quantity_Standard_D12</vt:lpstr>
      <vt:lpstr>Quantity_Standard_D12_v2</vt:lpstr>
      <vt:lpstr>Quantity_Standard_D13</vt:lpstr>
      <vt:lpstr>Quantity_Standard_D13_v2</vt:lpstr>
      <vt:lpstr>Quantity_Standard_D14</vt:lpstr>
      <vt:lpstr>Quantity_Standard_D14_v2</vt:lpstr>
      <vt:lpstr>Quantity_Standard_D16_V3</vt:lpstr>
      <vt:lpstr>Quantity_Standard_D2</vt:lpstr>
      <vt:lpstr>Quantity_Standard_D2_v2</vt:lpstr>
      <vt:lpstr>Quantity_Standard_D2_V3</vt:lpstr>
      <vt:lpstr>Quantity_Standard_D3</vt:lpstr>
      <vt:lpstr>Quantity_Standard_D3_v2</vt:lpstr>
      <vt:lpstr>Quantity_Standard_D32_V3</vt:lpstr>
      <vt:lpstr>Quantity_Standard_D4</vt:lpstr>
      <vt:lpstr>Quantity_Standard_D4_v2</vt:lpstr>
      <vt:lpstr>Quantity_Standard_D4_V3</vt:lpstr>
      <vt:lpstr>Quantity_Standard_D5_v2</vt:lpstr>
      <vt:lpstr>Quantity_Standard_D8_V3</vt:lpstr>
      <vt:lpstr>Quantity_Standard_DS1</vt:lpstr>
      <vt:lpstr>Quantity_Standard_DS1_v2</vt:lpstr>
      <vt:lpstr>Quantity_Standard_DS11</vt:lpstr>
      <vt:lpstr>Quantity_Standard_DS11_1_v2</vt:lpstr>
      <vt:lpstr>Quantity_Standard_DS11_v2</vt:lpstr>
      <vt:lpstr>Quantity_Standard_DS12</vt:lpstr>
      <vt:lpstr>Quantity_Standard_DS12_1_v2</vt:lpstr>
      <vt:lpstr>Quantity_Standard_DS12_2_v2</vt:lpstr>
      <vt:lpstr>Quantity_Standard_DS12_v2</vt:lpstr>
      <vt:lpstr>Quantity_Standard_DS13</vt:lpstr>
      <vt:lpstr>Quantity_Standard_DS13_2_v2</vt:lpstr>
      <vt:lpstr>Quantity_Standard_DS13_4_v2</vt:lpstr>
      <vt:lpstr>Quantity_Standard_DS13_v2</vt:lpstr>
      <vt:lpstr>Quantity_Standard_DS14</vt:lpstr>
      <vt:lpstr>Quantity_Standard_DS14_4_v2</vt:lpstr>
      <vt:lpstr>Quantity_Standard_DS14_8_v2</vt:lpstr>
      <vt:lpstr>Quantity_Standard_DS14_v2</vt:lpstr>
      <vt:lpstr>Quantity_Standard_DS2</vt:lpstr>
      <vt:lpstr>Quantity_Standard_DS2_v2</vt:lpstr>
      <vt:lpstr>Quantity_Standard_DS3</vt:lpstr>
      <vt:lpstr>Quantity_Standard_DS3_v2</vt:lpstr>
      <vt:lpstr>Quantity_Standard_DS4</vt:lpstr>
      <vt:lpstr>Quantity_Standard_DS4_v2</vt:lpstr>
      <vt:lpstr>Quantity_Standard_DS5_v2</vt:lpstr>
      <vt:lpstr>Quantity_Standard_E16_v3</vt:lpstr>
      <vt:lpstr>Quantity_Standard_E2_v3</vt:lpstr>
      <vt:lpstr>Quantity_Standard_E20_v3</vt:lpstr>
      <vt:lpstr>Quantity_Standard_E4_v3</vt:lpstr>
      <vt:lpstr>Quantity_Standard_E8_v3</vt:lpstr>
      <vt:lpstr>Quantity_Standard_F1</vt:lpstr>
      <vt:lpstr>Quantity_Standard_F16</vt:lpstr>
      <vt:lpstr>Quantity_Standard_F16s</vt:lpstr>
      <vt:lpstr>Quantity_Standard_F16s_v2</vt:lpstr>
      <vt:lpstr>Quantity_Standard_F1s</vt:lpstr>
      <vt:lpstr>Quantity_Standard_F2</vt:lpstr>
      <vt:lpstr>Quantity_Standard_F2s</vt:lpstr>
      <vt:lpstr>Quantity_Standard_F2s_v2</vt:lpstr>
      <vt:lpstr>Quantity_Standard_F32s_v2</vt:lpstr>
      <vt:lpstr>Quantity_Standard_F4</vt:lpstr>
      <vt:lpstr>Quantity_Standard_F4s</vt:lpstr>
      <vt:lpstr>Quantity_Standard_F4s_v2</vt:lpstr>
      <vt:lpstr>Quantity_Standard_F64s_v2</vt:lpstr>
      <vt:lpstr>Quantity_Standard_F8</vt:lpstr>
      <vt:lpstr>Quantity_Standard_F8s</vt:lpstr>
      <vt:lpstr>Quantity_Standard_F8s_v2</vt:lpstr>
      <vt:lpstr>Quantity_Standard_NC12s_v3</vt:lpstr>
      <vt:lpstr>Quantity_Standard_NC16as_T4_v3</vt:lpstr>
      <vt:lpstr>Quantity_Standard_NC24ads_A100_v4</vt:lpstr>
      <vt:lpstr>Quantity_Standard_NC24s_v3</vt:lpstr>
      <vt:lpstr>Quantity_Standard_NC48ads_A100_v4</vt:lpstr>
      <vt:lpstr>Quantity_Standard_NC4as_T4_v3</vt:lpstr>
      <vt:lpstr>Quantity_Standard_NC64as_T4_v3</vt:lpstr>
      <vt:lpstr>Quantity_Standard_NC6s_v3</vt:lpstr>
      <vt:lpstr>Quantity_Standard_NC8as_T4_v3</vt:lpstr>
      <vt:lpstr>Quantity_Standard_NV16as_v4</vt:lpstr>
      <vt:lpstr>Quantity_Standard_NV32as_v4</vt:lpstr>
      <vt:lpstr>Quantity_Standard_NV4as_v4</vt:lpstr>
      <vt:lpstr>Quantity_Standard_NV8as_v4</vt:lpstr>
      <vt:lpstr>Quantity_Tenant1_Basic_A0</vt:lpstr>
      <vt:lpstr>Quantity_Tenant1_Basic_A1</vt:lpstr>
      <vt:lpstr>Quantity_Tenant1_Basic_A2</vt:lpstr>
      <vt:lpstr>Quantity_Tenant1_Basic_A3</vt:lpstr>
      <vt:lpstr>Quantity_Tenant1_Basic_A4</vt:lpstr>
      <vt:lpstr>Quantity_Tenant1_Standard_A0</vt:lpstr>
      <vt:lpstr>Quantity_Tenant1_Standard_A1</vt:lpstr>
      <vt:lpstr>Quantity_Tenant1_Standard_A1_v2</vt:lpstr>
      <vt:lpstr>Quantity_Tenant1_Standard_A2</vt:lpstr>
      <vt:lpstr>Quantity_Tenant1_Standard_A2_v2</vt:lpstr>
      <vt:lpstr>Quantity_Tenant1_Standard_A2m_v2</vt:lpstr>
      <vt:lpstr>Quantity_Tenant1_Standard_A3</vt:lpstr>
      <vt:lpstr>Quantity_Tenant1_Standard_A4</vt:lpstr>
      <vt:lpstr>Quantity_Tenant1_Standard_A4_v2</vt:lpstr>
      <vt:lpstr>Quantity_Tenant1_Standard_A4m_v2</vt:lpstr>
      <vt:lpstr>Quantity_Tenant1_Standard_A5</vt:lpstr>
      <vt:lpstr>Quantity_Tenant1_Standard_A6</vt:lpstr>
      <vt:lpstr>Quantity_Tenant1_Standard_A7</vt:lpstr>
      <vt:lpstr>Quantity_Tenant1_Standard_A8_v2</vt:lpstr>
      <vt:lpstr>Quantity_Tenant1_Standard_A8m_v2</vt:lpstr>
      <vt:lpstr>Quantity_Tenant1_Standard_D1</vt:lpstr>
      <vt:lpstr>Quantity_Tenant1_Standard_D1_v2</vt:lpstr>
      <vt:lpstr>Quantity_Tenant1_Standard_D11</vt:lpstr>
      <vt:lpstr>Quantity_Tenant1_Standard_D11_v2</vt:lpstr>
      <vt:lpstr>Quantity_Tenant1_Standard_D12</vt:lpstr>
      <vt:lpstr>Quantity_Tenant1_Standard_D12_v2</vt:lpstr>
      <vt:lpstr>Quantity_Tenant1_Standard_D13</vt:lpstr>
      <vt:lpstr>Quantity_Tenant1_Standard_D13_v2</vt:lpstr>
      <vt:lpstr>Quantity_Tenant1_Standard_D14</vt:lpstr>
      <vt:lpstr>Quantity_Tenant1_Standard_D14_v2</vt:lpstr>
      <vt:lpstr>Quantity_Tenant1_Standard_D16_V3</vt:lpstr>
      <vt:lpstr>Quantity_Tenant1_Standard_D2</vt:lpstr>
      <vt:lpstr>Quantity_Tenant1_Standard_D2_v2</vt:lpstr>
      <vt:lpstr>Quantity_Tenant1_Standard_D2_V3</vt:lpstr>
      <vt:lpstr>Quantity_Tenant1_Standard_D3</vt:lpstr>
      <vt:lpstr>Quantity_Tenant1_Standard_D3_v2</vt:lpstr>
      <vt:lpstr>Quantity_Tenant1_Standard_D32_V3</vt:lpstr>
      <vt:lpstr>Quantity_Tenant1_Standard_D4</vt:lpstr>
      <vt:lpstr>Quantity_Tenant1_Standard_D4_v2</vt:lpstr>
      <vt:lpstr>Quantity_Tenant1_Standard_D4_V3</vt:lpstr>
      <vt:lpstr>Quantity_Tenant1_Standard_D5_v2</vt:lpstr>
      <vt:lpstr>Quantity_Tenant1_Standard_D8_V3</vt:lpstr>
      <vt:lpstr>Quantity_Tenant1_Standard_DS1</vt:lpstr>
      <vt:lpstr>Quantity_Tenant1_Standard_DS1_v2</vt:lpstr>
      <vt:lpstr>Quantity_Tenant1_Standard_DS11</vt:lpstr>
      <vt:lpstr>Quantity_Tenant1_Standard_DS11_1_v2</vt:lpstr>
      <vt:lpstr>Quantity_Tenant1_Standard_DS11_v2</vt:lpstr>
      <vt:lpstr>Quantity_Tenant1_Standard_DS12</vt:lpstr>
      <vt:lpstr>Quantity_Tenant1_Standard_DS12_1_v2</vt:lpstr>
      <vt:lpstr>Quantity_Tenant1_Standard_DS12_2_v2</vt:lpstr>
      <vt:lpstr>Quantity_Tenant1_Standard_DS12_v2</vt:lpstr>
      <vt:lpstr>Quantity_Tenant1_Standard_DS13</vt:lpstr>
      <vt:lpstr>Quantity_Tenant1_Standard_DS13_2_v2</vt:lpstr>
      <vt:lpstr>Quantity_Tenant1_Standard_DS13_4_v2</vt:lpstr>
      <vt:lpstr>Quantity_Tenant1_Standard_DS13_v2</vt:lpstr>
      <vt:lpstr>Quantity_Tenant1_Standard_DS14</vt:lpstr>
      <vt:lpstr>Quantity_Tenant1_Standard_DS14_4_v2</vt:lpstr>
      <vt:lpstr>Quantity_Tenant1_Standard_DS14_8_v2</vt:lpstr>
      <vt:lpstr>Quantity_Tenant1_Standard_DS14_v2</vt:lpstr>
      <vt:lpstr>Quantity_Tenant1_Standard_DS2</vt:lpstr>
      <vt:lpstr>Quantity_Tenant1_Standard_DS2_v2</vt:lpstr>
      <vt:lpstr>Quantity_Tenant1_Standard_DS3</vt:lpstr>
      <vt:lpstr>Quantity_Tenant1_Standard_DS3_v2</vt:lpstr>
      <vt:lpstr>Quantity_Tenant1_Standard_DS4</vt:lpstr>
      <vt:lpstr>Quantity_Tenant1_Standard_DS4_v2</vt:lpstr>
      <vt:lpstr>Quantity_Tenant1_Standard_DS5_v2</vt:lpstr>
      <vt:lpstr>Quantity_Tenant1_Standard_E16_v3</vt:lpstr>
      <vt:lpstr>Quantity_Tenant1_Standard_E2_v3</vt:lpstr>
      <vt:lpstr>Quantity_Tenant1_Standard_E20_v3</vt:lpstr>
      <vt:lpstr>Quantity_Tenant1_Standard_E4_v3</vt:lpstr>
      <vt:lpstr>Quantity_Tenant1_Standard_E8_v3</vt:lpstr>
      <vt:lpstr>Quantity_Tenant1_Standard_F1</vt:lpstr>
      <vt:lpstr>Quantity_Tenant1_Standard_F16</vt:lpstr>
      <vt:lpstr>Quantity_Tenant1_Standard_F16s</vt:lpstr>
      <vt:lpstr>Quantity_Tenant1_Standard_F16s_v2</vt:lpstr>
      <vt:lpstr>Quantity_Tenant1_Standard_F1s</vt:lpstr>
      <vt:lpstr>Quantity_Tenant1_Standard_F2</vt:lpstr>
      <vt:lpstr>Quantity_Tenant1_Standard_F2s</vt:lpstr>
      <vt:lpstr>Quantity_Tenant1_Standard_F2s_v2</vt:lpstr>
      <vt:lpstr>Quantity_Tenant1_Standard_F32s_v2</vt:lpstr>
      <vt:lpstr>Quantity_Tenant1_Standard_F4</vt:lpstr>
      <vt:lpstr>Quantity_Tenant1_Standard_F4s</vt:lpstr>
      <vt:lpstr>Quantity_Tenant1_Standard_F4s_v2</vt:lpstr>
      <vt:lpstr>Quantity_Tenant1_Standard_F64s_v2</vt:lpstr>
      <vt:lpstr>Quantity_Tenant1_Standard_F8</vt:lpstr>
      <vt:lpstr>Quantity_Tenant1_Standard_F8s</vt:lpstr>
      <vt:lpstr>Quantity_Tenant1_Standard_F8s_v2</vt:lpstr>
      <vt:lpstr>Quantity_Tenant1_Standard_NC12s_v3</vt:lpstr>
      <vt:lpstr>Quantity_Tenant1_Standard_NC16as_T4_v3</vt:lpstr>
      <vt:lpstr>Quantity_Tenant1_Standard_NC24ads_A100_v4</vt:lpstr>
      <vt:lpstr>Quantity_Tenant1_Standard_NC24s_v3</vt:lpstr>
      <vt:lpstr>Quantity_Tenant1_Standard_NC48ads_A100_v4</vt:lpstr>
      <vt:lpstr>Quantity_Tenant1_Standard_NC4as_T4_v3</vt:lpstr>
      <vt:lpstr>Quantity_Tenant1_Standard_NC64as_T4_v3</vt:lpstr>
      <vt:lpstr>Quantity_Tenant1_Standard_NC6s_v3</vt:lpstr>
      <vt:lpstr>Quantity_Tenant1_Standard_NC8as_T4_v3</vt:lpstr>
      <vt:lpstr>Quantity_Tenant1_Standard_NV16as_v4</vt:lpstr>
      <vt:lpstr>Quantity_Tenant1_Standard_NV32as_v4</vt:lpstr>
      <vt:lpstr>Quantity_Tenant1_Standard_NV4as_v4</vt:lpstr>
      <vt:lpstr>Quantity_Tenant1_Standard_NV8as_v4</vt:lpstr>
      <vt:lpstr>Quantity_Tenant1_VM1</vt:lpstr>
      <vt:lpstr>Quantity_Tenant1_VM3</vt:lpstr>
      <vt:lpstr>Quantity_Tenant1_VM4</vt:lpstr>
      <vt:lpstr>Quantity_Tenant1_VM5</vt:lpstr>
      <vt:lpstr>Quantity_Tenant2_Basic_A0</vt:lpstr>
      <vt:lpstr>Quantity_Tenant2_Basic_A1</vt:lpstr>
      <vt:lpstr>Quantity_Tenant2_Basic_A2</vt:lpstr>
      <vt:lpstr>Quantity_Tenant2_Basic_A3</vt:lpstr>
      <vt:lpstr>Quantity_Tenant2_Basic_A4</vt:lpstr>
      <vt:lpstr>Quantity_Tenant2_Standard_A0</vt:lpstr>
      <vt:lpstr>Quantity_Tenant2_Standard_A1</vt:lpstr>
      <vt:lpstr>Quantity_Tenant2_Standard_A1_v2</vt:lpstr>
      <vt:lpstr>Quantity_Tenant2_Standard_A2</vt:lpstr>
      <vt:lpstr>Quantity_Tenant2_Standard_A2_v2</vt:lpstr>
      <vt:lpstr>Quantity_Tenant2_Standard_A2m_v2</vt:lpstr>
      <vt:lpstr>Quantity_Tenant2_Standard_A3</vt:lpstr>
      <vt:lpstr>Quantity_Tenant2_Standard_A4</vt:lpstr>
      <vt:lpstr>Quantity_Tenant2_Standard_A4_v2</vt:lpstr>
      <vt:lpstr>Quantity_Tenant2_Standard_A4m_v2</vt:lpstr>
      <vt:lpstr>Quantity_Tenant2_Standard_A5</vt:lpstr>
      <vt:lpstr>Quantity_Tenant2_Standard_A6</vt:lpstr>
      <vt:lpstr>Quantity_Tenant2_Standard_A7</vt:lpstr>
      <vt:lpstr>Quantity_Tenant2_Standard_A8_v2</vt:lpstr>
      <vt:lpstr>Quantity_Tenant2_Standard_A8m_v2</vt:lpstr>
      <vt:lpstr>Quantity_Tenant2_Standard_D1</vt:lpstr>
      <vt:lpstr>Quantity_Tenant2_Standard_D1_v2</vt:lpstr>
      <vt:lpstr>Quantity_Tenant2_Standard_D11</vt:lpstr>
      <vt:lpstr>Quantity_Tenant2_Standard_D11_v2</vt:lpstr>
      <vt:lpstr>Quantity_Tenant2_Standard_D12</vt:lpstr>
      <vt:lpstr>Quantity_Tenant2_Standard_D12_v2</vt:lpstr>
      <vt:lpstr>Quantity_Tenant2_Standard_D13</vt:lpstr>
      <vt:lpstr>Quantity_Tenant2_Standard_D13_v2</vt:lpstr>
      <vt:lpstr>Quantity_Tenant2_Standard_D14</vt:lpstr>
      <vt:lpstr>Quantity_Tenant2_Standard_D14_v2</vt:lpstr>
      <vt:lpstr>Quantity_Tenant2_Standard_D16_V3</vt:lpstr>
      <vt:lpstr>Quantity_Tenant2_Standard_D2</vt:lpstr>
      <vt:lpstr>Quantity_Tenant2_Standard_D2_v2</vt:lpstr>
      <vt:lpstr>Quantity_Tenant2_Standard_D2_V3</vt:lpstr>
      <vt:lpstr>Quantity_Tenant2_Standard_D3</vt:lpstr>
      <vt:lpstr>Quantity_Tenant2_Standard_D3_v2</vt:lpstr>
      <vt:lpstr>Quantity_Tenant2_Standard_D32_V3</vt:lpstr>
      <vt:lpstr>Quantity_Tenant2_Standard_D4</vt:lpstr>
      <vt:lpstr>Quantity_Tenant2_Standard_D4_v2</vt:lpstr>
      <vt:lpstr>Quantity_Tenant2_Standard_D4_V3</vt:lpstr>
      <vt:lpstr>Quantity_Tenant2_Standard_D5_v2</vt:lpstr>
      <vt:lpstr>Quantity_Tenant2_Standard_D8_V3</vt:lpstr>
      <vt:lpstr>Quantity_Tenant2_Standard_DS1</vt:lpstr>
      <vt:lpstr>Quantity_Tenant2_Standard_DS1_v2</vt:lpstr>
      <vt:lpstr>Quantity_Tenant2_Standard_DS11</vt:lpstr>
      <vt:lpstr>Quantity_Tenant2_Standard_DS11_1_v2</vt:lpstr>
      <vt:lpstr>Quantity_Tenant2_Standard_DS11_v2</vt:lpstr>
      <vt:lpstr>Quantity_Tenant2_Standard_DS12</vt:lpstr>
      <vt:lpstr>Quantity_Tenant2_Standard_DS12_1_v2</vt:lpstr>
      <vt:lpstr>Quantity_Tenant2_Standard_DS12_2_v2</vt:lpstr>
      <vt:lpstr>Quantity_Tenant2_Standard_DS12_v2</vt:lpstr>
      <vt:lpstr>Quantity_Tenant2_Standard_DS13</vt:lpstr>
      <vt:lpstr>Quantity_Tenant2_Standard_DS13_2_v2</vt:lpstr>
      <vt:lpstr>Quantity_Tenant2_Standard_DS13_4_v2</vt:lpstr>
      <vt:lpstr>Quantity_Tenant2_Standard_DS13_v2</vt:lpstr>
      <vt:lpstr>Quantity_Tenant2_Standard_DS14</vt:lpstr>
      <vt:lpstr>Quantity_Tenant2_Standard_DS14_4_v2</vt:lpstr>
      <vt:lpstr>Quantity_Tenant2_Standard_DS14_8_v2</vt:lpstr>
      <vt:lpstr>Quantity_Tenant2_Standard_DS14_v2</vt:lpstr>
      <vt:lpstr>Quantity_Tenant2_Standard_DS2</vt:lpstr>
      <vt:lpstr>Quantity_Tenant2_Standard_DS2_v2</vt:lpstr>
      <vt:lpstr>Quantity_Tenant2_Standard_DS3</vt:lpstr>
      <vt:lpstr>Quantity_Tenant2_Standard_DS3_v2</vt:lpstr>
      <vt:lpstr>Quantity_Tenant2_Standard_DS4</vt:lpstr>
      <vt:lpstr>Quantity_Tenant2_Standard_DS4_v2</vt:lpstr>
      <vt:lpstr>Quantity_Tenant2_Standard_DS5_v2</vt:lpstr>
      <vt:lpstr>Quantity_Tenant2_Standard_E16_v3</vt:lpstr>
      <vt:lpstr>Quantity_Tenant2_Standard_E2_v3</vt:lpstr>
      <vt:lpstr>Quantity_Tenant2_Standard_E20_v3</vt:lpstr>
      <vt:lpstr>Quantity_Tenant2_Standard_E4_v3</vt:lpstr>
      <vt:lpstr>Quantity_Tenant2_Standard_E8_v3</vt:lpstr>
      <vt:lpstr>Quantity_Tenant2_Standard_F1</vt:lpstr>
      <vt:lpstr>Quantity_Tenant2_Standard_F16</vt:lpstr>
      <vt:lpstr>Quantity_Tenant2_Standard_F16s</vt:lpstr>
      <vt:lpstr>Quantity_Tenant2_Standard_F16s_v2</vt:lpstr>
      <vt:lpstr>Quantity_Tenant2_Standard_F1s</vt:lpstr>
      <vt:lpstr>Quantity_Tenant2_Standard_F2</vt:lpstr>
      <vt:lpstr>Quantity_Tenant2_Standard_F2s</vt:lpstr>
      <vt:lpstr>Quantity_Tenant2_Standard_F2s_v2</vt:lpstr>
      <vt:lpstr>Quantity_Tenant2_Standard_F32s_v2</vt:lpstr>
      <vt:lpstr>Quantity_Tenant2_Standard_F4</vt:lpstr>
      <vt:lpstr>Quantity_Tenant2_Standard_F4s</vt:lpstr>
      <vt:lpstr>Quantity_Tenant2_Standard_F4s_v2</vt:lpstr>
      <vt:lpstr>Quantity_Tenant2_Standard_F64s_v2</vt:lpstr>
      <vt:lpstr>Quantity_Tenant2_Standard_F8</vt:lpstr>
      <vt:lpstr>Quantity_Tenant2_Standard_F8s</vt:lpstr>
      <vt:lpstr>Quantity_Tenant2_Standard_F8s_v2</vt:lpstr>
      <vt:lpstr>Quantity_Tenant2_Standard_NC12s_v3</vt:lpstr>
      <vt:lpstr>Quantity_Tenant2_Standard_NC16as_T4_v3</vt:lpstr>
      <vt:lpstr>Quantity_Tenant2_Standard_NC24ads_A100_v4</vt:lpstr>
      <vt:lpstr>Quantity_Tenant2_Standard_NC24s_v3</vt:lpstr>
      <vt:lpstr>Quantity_Tenant2_Standard_NC48ads_A100_v4</vt:lpstr>
      <vt:lpstr>Quantity_Tenant2_Standard_NC4as_T4_v3</vt:lpstr>
      <vt:lpstr>Quantity_Tenant2_Standard_NC64as_T4_v3</vt:lpstr>
      <vt:lpstr>Quantity_Tenant2_Standard_NC6s_v3</vt:lpstr>
      <vt:lpstr>Quantity_Tenant2_Standard_NC8as_T4_v3</vt:lpstr>
      <vt:lpstr>Quantity_Tenant2_Standard_NV16as_v4</vt:lpstr>
      <vt:lpstr>Quantity_Tenant2_Standard_NV32as_v4</vt:lpstr>
      <vt:lpstr>Quantity_Tenant2_Standard_NV4as_v4</vt:lpstr>
      <vt:lpstr>Quantity_Tenant2_Standard_NV8as_v4</vt:lpstr>
      <vt:lpstr>Quantity_Tenant2_VM1</vt:lpstr>
      <vt:lpstr>Quantity_Tenant2_VM3</vt:lpstr>
      <vt:lpstr>Quantity_Tenant2_VM4</vt:lpstr>
      <vt:lpstr>Quantity_Tenant2_VM5</vt:lpstr>
      <vt:lpstr>Quantity_Tenant3_Basic_A0</vt:lpstr>
      <vt:lpstr>Quantity_Tenant3_Basic_A1</vt:lpstr>
      <vt:lpstr>Quantity_Tenant3_Basic_A2</vt:lpstr>
      <vt:lpstr>Quantity_Tenant3_Basic_A3</vt:lpstr>
      <vt:lpstr>Quantity_Tenant3_Basic_A4</vt:lpstr>
      <vt:lpstr>Quantity_Tenant3_Standard_A0</vt:lpstr>
      <vt:lpstr>Quantity_Tenant3_Standard_A1</vt:lpstr>
      <vt:lpstr>Quantity_Tenant3_Standard_A1_v2</vt:lpstr>
      <vt:lpstr>Quantity_Tenant3_Standard_A2</vt:lpstr>
      <vt:lpstr>Quantity_Tenant3_Standard_A2_v2</vt:lpstr>
      <vt:lpstr>Quantity_Tenant3_Standard_A2m_v2</vt:lpstr>
      <vt:lpstr>Quantity_Tenant3_Standard_A3</vt:lpstr>
      <vt:lpstr>Quantity_Tenant3_Standard_A4</vt:lpstr>
      <vt:lpstr>Quantity_Tenant3_Standard_A4_v2</vt:lpstr>
      <vt:lpstr>Quantity_Tenant3_Standard_A4m_v2</vt:lpstr>
      <vt:lpstr>Quantity_Tenant3_Standard_A5</vt:lpstr>
      <vt:lpstr>Quantity_Tenant3_Standard_A6</vt:lpstr>
      <vt:lpstr>Quantity_Tenant3_Standard_A7</vt:lpstr>
      <vt:lpstr>Quantity_Tenant3_Standard_A8_v2</vt:lpstr>
      <vt:lpstr>Quantity_Tenant3_Standard_A8m_v2</vt:lpstr>
      <vt:lpstr>Quantity_Tenant3_Standard_D1</vt:lpstr>
      <vt:lpstr>Quantity_Tenant3_Standard_D1_v2</vt:lpstr>
      <vt:lpstr>Quantity_Tenant3_Standard_D11</vt:lpstr>
      <vt:lpstr>Quantity_Tenant3_Standard_D11_v2</vt:lpstr>
      <vt:lpstr>Quantity_Tenant3_Standard_D12</vt:lpstr>
      <vt:lpstr>Quantity_Tenant3_Standard_D12_v2</vt:lpstr>
      <vt:lpstr>Quantity_Tenant3_Standard_D13</vt:lpstr>
      <vt:lpstr>Quantity_Tenant3_Standard_D13_v2</vt:lpstr>
      <vt:lpstr>Quantity_Tenant3_Standard_D14</vt:lpstr>
      <vt:lpstr>Quantity_Tenant3_Standard_D14_v2</vt:lpstr>
      <vt:lpstr>Quantity_Tenant3_Standard_D16_V3</vt:lpstr>
      <vt:lpstr>Quantity_Tenant3_Standard_D2</vt:lpstr>
      <vt:lpstr>Quantity_Tenant3_Standard_D2_v2</vt:lpstr>
      <vt:lpstr>Quantity_Tenant3_Standard_D2_V3</vt:lpstr>
      <vt:lpstr>Quantity_Tenant3_Standard_D3</vt:lpstr>
      <vt:lpstr>Quantity_Tenant3_Standard_D3_v2</vt:lpstr>
      <vt:lpstr>Quantity_Tenant3_Standard_D32_V3</vt:lpstr>
      <vt:lpstr>Quantity_Tenant3_Standard_D4</vt:lpstr>
      <vt:lpstr>Quantity_Tenant3_Standard_D4_v2</vt:lpstr>
      <vt:lpstr>Quantity_Tenant3_Standard_D4_V3</vt:lpstr>
      <vt:lpstr>Quantity_Tenant3_Standard_D5_v2</vt:lpstr>
      <vt:lpstr>Quantity_Tenant3_Standard_D8_V3</vt:lpstr>
      <vt:lpstr>Quantity_Tenant3_Standard_DS1</vt:lpstr>
      <vt:lpstr>Quantity_Tenant3_Standard_DS1_v2</vt:lpstr>
      <vt:lpstr>Quantity_Tenant3_Standard_DS11</vt:lpstr>
      <vt:lpstr>Quantity_Tenant3_Standard_DS11_1_v2</vt:lpstr>
      <vt:lpstr>Quantity_Tenant3_Standard_DS11_v2</vt:lpstr>
      <vt:lpstr>Quantity_Tenant3_Standard_DS12</vt:lpstr>
      <vt:lpstr>Quantity_Tenant3_Standard_DS12_1_v2</vt:lpstr>
      <vt:lpstr>Quantity_Tenant3_Standard_DS12_2_v2</vt:lpstr>
      <vt:lpstr>Quantity_Tenant3_Standard_DS12_v2</vt:lpstr>
      <vt:lpstr>Quantity_Tenant3_Standard_DS13</vt:lpstr>
      <vt:lpstr>Quantity_Tenant3_Standard_DS13_2_v2</vt:lpstr>
      <vt:lpstr>Quantity_Tenant3_Standard_DS13_4_v2</vt:lpstr>
      <vt:lpstr>Quantity_Tenant3_Standard_DS13_v2</vt:lpstr>
      <vt:lpstr>Quantity_Tenant3_Standard_DS14</vt:lpstr>
      <vt:lpstr>Quantity_Tenant3_Standard_DS14_4_v2</vt:lpstr>
      <vt:lpstr>Quantity_Tenant3_Standard_DS14_8_v2</vt:lpstr>
      <vt:lpstr>Quantity_Tenant3_Standard_DS14_v2</vt:lpstr>
      <vt:lpstr>Quantity_Tenant3_Standard_DS2</vt:lpstr>
      <vt:lpstr>Quantity_Tenant3_Standard_DS2_v2</vt:lpstr>
      <vt:lpstr>Quantity_Tenant3_Standard_DS3</vt:lpstr>
      <vt:lpstr>Quantity_Tenant3_Standard_DS3_v2</vt:lpstr>
      <vt:lpstr>Quantity_Tenant3_Standard_DS4</vt:lpstr>
      <vt:lpstr>Quantity_Tenant3_Standard_DS4_v2</vt:lpstr>
      <vt:lpstr>Quantity_Tenant3_Standard_DS5_v2</vt:lpstr>
      <vt:lpstr>Quantity_Tenant3_Standard_E16_v3</vt:lpstr>
      <vt:lpstr>Quantity_Tenant3_Standard_E2_v3</vt:lpstr>
      <vt:lpstr>Quantity_Tenant3_Standard_E20_v3</vt:lpstr>
      <vt:lpstr>Quantity_Tenant3_Standard_E4_v3</vt:lpstr>
      <vt:lpstr>Quantity_Tenant3_Standard_E8_v3</vt:lpstr>
      <vt:lpstr>Quantity_Tenant3_Standard_F1</vt:lpstr>
      <vt:lpstr>Quantity_Tenant3_Standard_F16</vt:lpstr>
      <vt:lpstr>Quantity_Tenant3_Standard_F16s</vt:lpstr>
      <vt:lpstr>Quantity_Tenant3_Standard_F16s_v2</vt:lpstr>
      <vt:lpstr>Quantity_Tenant3_Standard_F1s</vt:lpstr>
      <vt:lpstr>Quantity_Tenant3_Standard_F2</vt:lpstr>
      <vt:lpstr>Quantity_Tenant3_Standard_F2s</vt:lpstr>
      <vt:lpstr>Quantity_Tenant3_Standard_F2s_v2</vt:lpstr>
      <vt:lpstr>Quantity_Tenant3_Standard_F32s_v2</vt:lpstr>
      <vt:lpstr>Quantity_Tenant3_Standard_F4</vt:lpstr>
      <vt:lpstr>Quantity_Tenant3_Standard_F4s</vt:lpstr>
      <vt:lpstr>Quantity_Tenant3_Standard_F4s_v2</vt:lpstr>
      <vt:lpstr>Quantity_Tenant3_Standard_F64s_v2</vt:lpstr>
      <vt:lpstr>Quantity_Tenant3_Standard_F8</vt:lpstr>
      <vt:lpstr>Quantity_Tenant3_Standard_F8s</vt:lpstr>
      <vt:lpstr>Quantity_Tenant3_Standard_F8s_v2</vt:lpstr>
      <vt:lpstr>Quantity_Tenant3_Standard_NC12s_v3</vt:lpstr>
      <vt:lpstr>Quantity_Tenant3_Standard_NC16as_T4_v3</vt:lpstr>
      <vt:lpstr>Quantity_Tenant3_Standard_NC24ads_A100_v4</vt:lpstr>
      <vt:lpstr>Quantity_Tenant3_Standard_NC24s_v3</vt:lpstr>
      <vt:lpstr>Quantity_Tenant3_Standard_NC48ads_A100_v4</vt:lpstr>
      <vt:lpstr>Quantity_Tenant3_Standard_NC4as_T4_v3</vt:lpstr>
      <vt:lpstr>Quantity_Tenant3_Standard_NC64as_T4_v3</vt:lpstr>
      <vt:lpstr>Quantity_Tenant3_Standard_NC6s_v3</vt:lpstr>
      <vt:lpstr>Quantity_Tenant3_Standard_NC8as_T4_v3</vt:lpstr>
      <vt:lpstr>Quantity_Tenant3_Standard_NV16as_v4</vt:lpstr>
      <vt:lpstr>Quantity_Tenant3_Standard_NV32as_v4</vt:lpstr>
      <vt:lpstr>Quantity_Tenant3_Standard_NV4as_v4</vt:lpstr>
      <vt:lpstr>Quantity_Tenant3_Standard_NV8as_v4</vt:lpstr>
      <vt:lpstr>Quantity_Tenant3_VM1</vt:lpstr>
      <vt:lpstr>Quantity_Tenant3_VM3</vt:lpstr>
      <vt:lpstr>Quantity_Tenant3_VM4</vt:lpstr>
      <vt:lpstr>Quantity_Tenant3_VM5</vt:lpstr>
      <vt:lpstr>Quantity_Tenant4_Basic_A0</vt:lpstr>
      <vt:lpstr>Quantity_Tenant4_Basic_A1</vt:lpstr>
      <vt:lpstr>Quantity_Tenant4_Basic_A2</vt:lpstr>
      <vt:lpstr>Quantity_Tenant4_Basic_A3</vt:lpstr>
      <vt:lpstr>Quantity_Tenant4_Basic_A3G44</vt:lpstr>
      <vt:lpstr>Quantity_Tenant4_Basic_A4</vt:lpstr>
      <vt:lpstr>Quantity_Tenant4_Standard_A0</vt:lpstr>
      <vt:lpstr>Quantity_Tenant4_Standard_A1</vt:lpstr>
      <vt:lpstr>Quantity_Tenant4_Standard_A1_v2</vt:lpstr>
      <vt:lpstr>Quantity_Tenant4_Standard_A2</vt:lpstr>
      <vt:lpstr>Quantity_Tenant4_Standard_A2_v2</vt:lpstr>
      <vt:lpstr>Quantity_Tenant4_Standard_A2m_v2</vt:lpstr>
      <vt:lpstr>Quantity_Tenant4_Standard_A3</vt:lpstr>
      <vt:lpstr>Quantity_Tenant4_Standard_A4</vt:lpstr>
      <vt:lpstr>Quantity_Tenant4_Standard_A4_v2</vt:lpstr>
      <vt:lpstr>Quantity_Tenant4_Standard_A4m_v2</vt:lpstr>
      <vt:lpstr>Quantity_Tenant4_Standard_A5</vt:lpstr>
      <vt:lpstr>Quantity_Tenant4_Standard_A6</vt:lpstr>
      <vt:lpstr>Quantity_Tenant4_Standard_A7</vt:lpstr>
      <vt:lpstr>Quantity_Tenant4_Standard_A8_v2</vt:lpstr>
      <vt:lpstr>Quantity_Tenant4_Standard_A8m_v2</vt:lpstr>
      <vt:lpstr>Quantity_Tenant4_Standard_D1</vt:lpstr>
      <vt:lpstr>Quantity_Tenant4_Standard_D1_v2</vt:lpstr>
      <vt:lpstr>Quantity_Tenant4_Standard_D11</vt:lpstr>
      <vt:lpstr>Quantity_Tenant4_Standard_D11_v2</vt:lpstr>
      <vt:lpstr>Quantity_Tenant4_Standard_D12</vt:lpstr>
      <vt:lpstr>Quantity_Tenant4_Standard_D12_v2</vt:lpstr>
      <vt:lpstr>Quantity_Tenant4_Standard_D13</vt:lpstr>
      <vt:lpstr>Quantity_Tenant4_Standard_D13_v2</vt:lpstr>
      <vt:lpstr>Quantity_Tenant4_Standard_D14</vt:lpstr>
      <vt:lpstr>Quantity_Tenant4_Standard_D14_v2</vt:lpstr>
      <vt:lpstr>Quantity_Tenant4_Standard_D16_V3</vt:lpstr>
      <vt:lpstr>Quantity_Tenant4_Standard_D2</vt:lpstr>
      <vt:lpstr>Quantity_Tenant4_Standard_D2_v2</vt:lpstr>
      <vt:lpstr>Quantity_Tenant4_Standard_D2_V3</vt:lpstr>
      <vt:lpstr>Quantity_Tenant4_Standard_D3</vt:lpstr>
      <vt:lpstr>Quantity_Tenant4_Standard_D3_v2</vt:lpstr>
      <vt:lpstr>Quantity_Tenant4_Standard_D32_V3</vt:lpstr>
      <vt:lpstr>Quantity_Tenant4_Standard_D4</vt:lpstr>
      <vt:lpstr>Quantity_Tenant4_Standard_D4_v2</vt:lpstr>
      <vt:lpstr>Quantity_Tenant4_Standard_D4_V3</vt:lpstr>
      <vt:lpstr>Quantity_Tenant4_Standard_D5_v2</vt:lpstr>
      <vt:lpstr>Quantity_Tenant4_Standard_D8_V3</vt:lpstr>
      <vt:lpstr>Quantity_Tenant4_Standard_DS1</vt:lpstr>
      <vt:lpstr>Quantity_Tenant4_Standard_DS1_v2</vt:lpstr>
      <vt:lpstr>Quantity_Tenant4_Standard_DS11</vt:lpstr>
      <vt:lpstr>Quantity_Tenant4_Standard_DS11_1_v2</vt:lpstr>
      <vt:lpstr>Quantity_Tenant4_Standard_DS11_v2</vt:lpstr>
      <vt:lpstr>Quantity_Tenant4_Standard_DS12</vt:lpstr>
      <vt:lpstr>Quantity_Tenant4_Standard_DS12_1_v2</vt:lpstr>
      <vt:lpstr>Quantity_Tenant4_Standard_DS12_2_v2</vt:lpstr>
      <vt:lpstr>Quantity_Tenant4_Standard_DS12_v2</vt:lpstr>
      <vt:lpstr>Quantity_Tenant4_Standard_DS13</vt:lpstr>
      <vt:lpstr>Quantity_Tenant4_Standard_DS13_2_v2</vt:lpstr>
      <vt:lpstr>Quantity_Tenant4_Standard_DS13_4_v2</vt:lpstr>
      <vt:lpstr>Quantity_Tenant4_Standard_DS13_v2</vt:lpstr>
      <vt:lpstr>Quantity_Tenant4_Standard_DS14</vt:lpstr>
      <vt:lpstr>Quantity_Tenant4_Standard_DS14_4_v2</vt:lpstr>
      <vt:lpstr>Quantity_Tenant4_Standard_DS14_8_v2</vt:lpstr>
      <vt:lpstr>Quantity_Tenant4_Standard_DS14_v2</vt:lpstr>
      <vt:lpstr>Quantity_Tenant4_Standard_DS2</vt:lpstr>
      <vt:lpstr>Quantity_Tenant4_Standard_DS2_v2</vt:lpstr>
      <vt:lpstr>Quantity_Tenant4_Standard_DS3</vt:lpstr>
      <vt:lpstr>Quantity_Tenant4_Standard_DS3_v2</vt:lpstr>
      <vt:lpstr>Quantity_Tenant4_Standard_DS4</vt:lpstr>
      <vt:lpstr>Quantity_Tenant4_Standard_DS4_v2</vt:lpstr>
      <vt:lpstr>Quantity_Tenant4_Standard_DS5_v2</vt:lpstr>
      <vt:lpstr>Quantity_Tenant4_Standard_E16_v3</vt:lpstr>
      <vt:lpstr>Quantity_Tenant4_Standard_E2_v3</vt:lpstr>
      <vt:lpstr>Quantity_Tenant4_Standard_E20_v3</vt:lpstr>
      <vt:lpstr>Quantity_Tenant4_Standard_E4_v3</vt:lpstr>
      <vt:lpstr>Quantity_Tenant4_Standard_E8_v3</vt:lpstr>
      <vt:lpstr>Quantity_Tenant4_Standard_F1</vt:lpstr>
      <vt:lpstr>Quantity_Tenant4_Standard_F16</vt:lpstr>
      <vt:lpstr>Quantity_Tenant4_Standard_F16s</vt:lpstr>
      <vt:lpstr>Quantity_Tenant4_Standard_F16s_v2</vt:lpstr>
      <vt:lpstr>Quantity_Tenant4_Standard_F1s</vt:lpstr>
      <vt:lpstr>Quantity_Tenant4_Standard_F2</vt:lpstr>
      <vt:lpstr>Quantity_Tenant4_Standard_F2s</vt:lpstr>
      <vt:lpstr>Quantity_Tenant4_Standard_F2s_v2</vt:lpstr>
      <vt:lpstr>Quantity_Tenant4_Standard_F32s_v2</vt:lpstr>
      <vt:lpstr>Quantity_Tenant4_Standard_F4</vt:lpstr>
      <vt:lpstr>Quantity_Tenant4_Standard_F4s</vt:lpstr>
      <vt:lpstr>Quantity_Tenant4_Standard_F4s_v2</vt:lpstr>
      <vt:lpstr>Quantity_Tenant4_Standard_F64s_v2</vt:lpstr>
      <vt:lpstr>Quantity_Tenant4_Standard_F8</vt:lpstr>
      <vt:lpstr>Quantity_Tenant4_Standard_F8s</vt:lpstr>
      <vt:lpstr>Quantity_Tenant4_Standard_F8s_v2</vt:lpstr>
      <vt:lpstr>Quantity_Tenant4_Standard_NC12s_v3</vt:lpstr>
      <vt:lpstr>Quantity_Tenant4_Standard_NC16as_T4_v3</vt:lpstr>
      <vt:lpstr>Quantity_Tenant4_Standard_NC24ads_A100_v4</vt:lpstr>
      <vt:lpstr>Quantity_Tenant4_Standard_NC24s_v3</vt:lpstr>
      <vt:lpstr>Quantity_Tenant4_Standard_NC48ads_A100_v4</vt:lpstr>
      <vt:lpstr>Quantity_Tenant4_Standard_NC4as_T4_v3</vt:lpstr>
      <vt:lpstr>Quantity_Tenant4_Standard_NC64as_T4_v3</vt:lpstr>
      <vt:lpstr>Quantity_Tenant4_Standard_NC6s_v3</vt:lpstr>
      <vt:lpstr>Quantity_Tenant4_Standard_NC8as_T4_v3</vt:lpstr>
      <vt:lpstr>Quantity_Tenant4_Standard_NV16as_v4</vt:lpstr>
      <vt:lpstr>Quantity_Tenant4_Standard_NV32as_v4</vt:lpstr>
      <vt:lpstr>Quantity_Tenant4_Standard_NV4as_v4</vt:lpstr>
      <vt:lpstr>Quantity_Tenant4_Standard_NV8as_v4</vt:lpstr>
      <vt:lpstr>Quantity_Tenant4_VM1</vt:lpstr>
      <vt:lpstr>Quantity_Tenant4_VM3</vt:lpstr>
      <vt:lpstr>Quantity_Tenant4_VM4</vt:lpstr>
      <vt:lpstr>Quantity_Tenant4_VM5</vt:lpstr>
      <vt:lpstr>Quantity_Tenant5_Basic_A0</vt:lpstr>
      <vt:lpstr>Quantity_Tenant5_Basic_A1</vt:lpstr>
      <vt:lpstr>Quantity_Tenant5_Basic_A2</vt:lpstr>
      <vt:lpstr>Quantity_Tenant5_Basic_A3</vt:lpstr>
      <vt:lpstr>Quantity_Tenant5_Basic_A4</vt:lpstr>
      <vt:lpstr>Quantity_Tenant5_Standard_A0</vt:lpstr>
      <vt:lpstr>Quantity_Tenant5_Standard_A1</vt:lpstr>
      <vt:lpstr>Quantity_Tenant5_Standard_A1_v2</vt:lpstr>
      <vt:lpstr>Quantity_Tenant5_Standard_A2</vt:lpstr>
      <vt:lpstr>Quantity_Tenant5_Standard_A2_v2</vt:lpstr>
      <vt:lpstr>Quantity_Tenant5_Standard_A2m_v2</vt:lpstr>
      <vt:lpstr>Quantity_Tenant5_Standard_A3</vt:lpstr>
      <vt:lpstr>Quantity_Tenant5_Standard_A4</vt:lpstr>
      <vt:lpstr>Quantity_Tenant5_Standard_A4_v2</vt:lpstr>
      <vt:lpstr>Quantity_Tenant5_Standard_A4m_v2</vt:lpstr>
      <vt:lpstr>Quantity_Tenant5_Standard_A5</vt:lpstr>
      <vt:lpstr>Quantity_Tenant5_Standard_A6</vt:lpstr>
      <vt:lpstr>Quantity_Tenant5_Standard_A7</vt:lpstr>
      <vt:lpstr>Quantity_Tenant5_Standard_A8_v2</vt:lpstr>
      <vt:lpstr>Quantity_Tenant5_Standard_A8m_v2</vt:lpstr>
      <vt:lpstr>Quantity_Tenant5_Standard_D1</vt:lpstr>
      <vt:lpstr>Quantity_Tenant5_Standard_D1_v2</vt:lpstr>
      <vt:lpstr>Quantity_Tenant5_Standard_D11</vt:lpstr>
      <vt:lpstr>Quantity_Tenant5_Standard_D11_v2</vt:lpstr>
      <vt:lpstr>Quantity_Tenant5_Standard_D12</vt:lpstr>
      <vt:lpstr>Quantity_Tenant5_Standard_D12_v2</vt:lpstr>
      <vt:lpstr>Quantity_Tenant5_Standard_D13</vt:lpstr>
      <vt:lpstr>Quantity_Tenant5_Standard_D13_v2</vt:lpstr>
      <vt:lpstr>Quantity_Tenant5_Standard_D14</vt:lpstr>
      <vt:lpstr>Quantity_Tenant5_Standard_D14_v2</vt:lpstr>
      <vt:lpstr>Quantity_Tenant5_Standard_D16_V3</vt:lpstr>
      <vt:lpstr>Quantity_Tenant5_Standard_D2</vt:lpstr>
      <vt:lpstr>Quantity_Tenant5_Standard_D2_v2</vt:lpstr>
      <vt:lpstr>Quantity_Tenant5_Standard_D2_V3</vt:lpstr>
      <vt:lpstr>Quantity_Tenant5_Standard_D3</vt:lpstr>
      <vt:lpstr>Quantity_Tenant5_Standard_D3_v2</vt:lpstr>
      <vt:lpstr>Quantity_Tenant5_Standard_D32_V3</vt:lpstr>
      <vt:lpstr>Quantity_Tenant5_Standard_D4</vt:lpstr>
      <vt:lpstr>Quantity_Tenant5_Standard_D4_v2</vt:lpstr>
      <vt:lpstr>Quantity_Tenant5_Standard_D4_V3</vt:lpstr>
      <vt:lpstr>Quantity_Tenant5_Standard_D5_v2</vt:lpstr>
      <vt:lpstr>Quantity_Tenant5_Standard_D8_V3</vt:lpstr>
      <vt:lpstr>Quantity_Tenant5_Standard_DS1</vt:lpstr>
      <vt:lpstr>Quantity_Tenant5_Standard_DS1_v2</vt:lpstr>
      <vt:lpstr>Quantity_Tenant5_Standard_DS11</vt:lpstr>
      <vt:lpstr>Quantity_Tenant5_Standard_DS11_1_v2</vt:lpstr>
      <vt:lpstr>Quantity_Tenant5_Standard_DS11_v2</vt:lpstr>
      <vt:lpstr>Quantity_Tenant5_Standard_DS12</vt:lpstr>
      <vt:lpstr>Quantity_Tenant5_Standard_DS12_1_v2</vt:lpstr>
      <vt:lpstr>Quantity_Tenant5_Standard_DS12_2_v2</vt:lpstr>
      <vt:lpstr>Quantity_Tenant5_Standard_DS12_v2</vt:lpstr>
      <vt:lpstr>Quantity_Tenant5_Standard_DS13</vt:lpstr>
      <vt:lpstr>Quantity_Tenant5_Standard_DS13_2_v2</vt:lpstr>
      <vt:lpstr>Quantity_Tenant5_Standard_DS13_4_v2</vt:lpstr>
      <vt:lpstr>Quantity_Tenant5_Standard_DS13_v2</vt:lpstr>
      <vt:lpstr>Quantity_Tenant5_Standard_DS14</vt:lpstr>
      <vt:lpstr>Quantity_Tenant5_Standard_DS14_4_v2</vt:lpstr>
      <vt:lpstr>Quantity_Tenant5_Standard_DS14_8_v2</vt:lpstr>
      <vt:lpstr>Quantity_Tenant5_Standard_DS14_v2</vt:lpstr>
      <vt:lpstr>Quantity_Tenant5_Standard_DS2</vt:lpstr>
      <vt:lpstr>Quantity_Tenant5_Standard_DS2_v2</vt:lpstr>
      <vt:lpstr>Quantity_Tenant5_Standard_DS3</vt:lpstr>
      <vt:lpstr>Quantity_Tenant5_Standard_DS3_v2</vt:lpstr>
      <vt:lpstr>Quantity_Tenant5_Standard_DS4</vt:lpstr>
      <vt:lpstr>Quantity_Tenant5_Standard_DS4_v2</vt:lpstr>
      <vt:lpstr>Quantity_Tenant5_Standard_DS5_v2</vt:lpstr>
      <vt:lpstr>Quantity_Tenant5_Standard_E16_v3</vt:lpstr>
      <vt:lpstr>Quantity_Tenant5_Standard_E2_v3</vt:lpstr>
      <vt:lpstr>Quantity_Tenant5_Standard_E20_v3</vt:lpstr>
      <vt:lpstr>Quantity_Tenant5_Standard_E4_v3</vt:lpstr>
      <vt:lpstr>Quantity_Tenant5_Standard_E8_v3</vt:lpstr>
      <vt:lpstr>Quantity_Tenant5_Standard_F1</vt:lpstr>
      <vt:lpstr>Quantity_Tenant5_Standard_F16</vt:lpstr>
      <vt:lpstr>Quantity_Tenant5_Standard_F16s</vt:lpstr>
      <vt:lpstr>Quantity_Tenant5_Standard_F16s_v2</vt:lpstr>
      <vt:lpstr>Quantity_Tenant5_Standard_F1s</vt:lpstr>
      <vt:lpstr>Quantity_Tenant5_Standard_F2</vt:lpstr>
      <vt:lpstr>Quantity_Tenant5_Standard_F2s</vt:lpstr>
      <vt:lpstr>Quantity_Tenant5_Standard_F2s_v2</vt:lpstr>
      <vt:lpstr>Quantity_Tenant5_Standard_F32s_v2</vt:lpstr>
      <vt:lpstr>Quantity_Tenant5_Standard_F4</vt:lpstr>
      <vt:lpstr>Quantity_Tenant5_Standard_F4s</vt:lpstr>
      <vt:lpstr>Quantity_Tenant5_Standard_F4s_v2</vt:lpstr>
      <vt:lpstr>Quantity_Tenant5_Standard_F64s_v2</vt:lpstr>
      <vt:lpstr>Quantity_Tenant5_Standard_F8</vt:lpstr>
      <vt:lpstr>Quantity_Tenant5_Standard_F8s</vt:lpstr>
      <vt:lpstr>Quantity_Tenant5_Standard_F8s_v2</vt:lpstr>
      <vt:lpstr>Quantity_Tenant5_Standard_NC12s_v3</vt:lpstr>
      <vt:lpstr>Quantity_Tenant5_Standard_NC16as_T4_v3</vt:lpstr>
      <vt:lpstr>Quantity_Tenant5_Standard_NC24ads_A100_v4</vt:lpstr>
      <vt:lpstr>Quantity_Tenant5_Standard_NC24s_v3</vt:lpstr>
      <vt:lpstr>Quantity_Tenant5_Standard_NC48ads_A100_v4</vt:lpstr>
      <vt:lpstr>Quantity_Tenant5_Standard_NC4as_T4_v3</vt:lpstr>
      <vt:lpstr>Quantity_Tenant5_Standard_NC64as_T4_v3</vt:lpstr>
      <vt:lpstr>Quantity_Tenant5_Standard_NC6s_v3</vt:lpstr>
      <vt:lpstr>Quantity_Tenant5_Standard_NC8as_T4_v3</vt:lpstr>
      <vt:lpstr>Quantity_Tenant5_Standard_NV16as_v4</vt:lpstr>
      <vt:lpstr>Quantity_Tenant5_Standard_NV32as_v4</vt:lpstr>
      <vt:lpstr>Quantity_Tenant5_Standard_NV4as_v4</vt:lpstr>
      <vt:lpstr>Quantity_Tenant5_Standard_NV8as_v4</vt:lpstr>
      <vt:lpstr>Quantity_Tenant5_VM1</vt:lpstr>
      <vt:lpstr>Quantity_Tenant5_VM3</vt:lpstr>
      <vt:lpstr>Quantity_Tenant5_VM4</vt:lpstr>
      <vt:lpstr>Quantity_Tenant5_VM5</vt:lpstr>
      <vt:lpstr>Quantity_Tenant51_Standard_NC64as_T4_v3</vt:lpstr>
      <vt:lpstr>Quantity_Tenant6_Basic_A0</vt:lpstr>
      <vt:lpstr>Quantity_Tenant6_Basic_A1</vt:lpstr>
      <vt:lpstr>Quantity_Tenant6_Basic_A2</vt:lpstr>
      <vt:lpstr>Quantity_Tenant6_Basic_A3</vt:lpstr>
      <vt:lpstr>Quantity_Tenant6_Basic_A4</vt:lpstr>
      <vt:lpstr>Quantity_Tenant6_Standard_A0</vt:lpstr>
      <vt:lpstr>Quantity_Tenant6_Standard_A1</vt:lpstr>
      <vt:lpstr>Quantity_Tenant6_Standard_A1_v2</vt:lpstr>
      <vt:lpstr>Quantity_Tenant6_Standard_A2</vt:lpstr>
      <vt:lpstr>Quantity_Tenant6_Standard_A2_v2</vt:lpstr>
      <vt:lpstr>Quantity_Tenant6_Standard_A2m_v2</vt:lpstr>
      <vt:lpstr>Quantity_Tenant6_Standard_A3</vt:lpstr>
      <vt:lpstr>Quantity_Tenant6_Standard_A4</vt:lpstr>
      <vt:lpstr>Quantity_Tenant6_Standard_A4_v2</vt:lpstr>
      <vt:lpstr>Quantity_Tenant6_Standard_A4m_v2</vt:lpstr>
      <vt:lpstr>Quantity_Tenant6_Standard_A5</vt:lpstr>
      <vt:lpstr>Quantity_Tenant6_Standard_A6</vt:lpstr>
      <vt:lpstr>Quantity_Tenant6_Standard_A7</vt:lpstr>
      <vt:lpstr>Quantity_Tenant6_Standard_A8_v2</vt:lpstr>
      <vt:lpstr>Quantity_Tenant6_Standard_A8m_v2</vt:lpstr>
      <vt:lpstr>Quantity_Tenant6_Standard_D1</vt:lpstr>
      <vt:lpstr>Quantity_Tenant6_Standard_D1_v2</vt:lpstr>
      <vt:lpstr>Quantity_Tenant6_Standard_D11</vt:lpstr>
      <vt:lpstr>Quantity_Tenant6_Standard_D11_v2</vt:lpstr>
      <vt:lpstr>Quantity_Tenant6_Standard_D12</vt:lpstr>
      <vt:lpstr>Quantity_Tenant6_Standard_D12_v2</vt:lpstr>
      <vt:lpstr>Quantity_Tenant6_Standard_D13</vt:lpstr>
      <vt:lpstr>Quantity_Tenant6_Standard_D13_v2</vt:lpstr>
      <vt:lpstr>Quantity_Tenant6_Standard_D14</vt:lpstr>
      <vt:lpstr>Quantity_Tenant6_Standard_D14_v2</vt:lpstr>
      <vt:lpstr>Quantity_Tenant6_Standard_D16_V3</vt:lpstr>
      <vt:lpstr>Quantity_Tenant6_Standard_D2</vt:lpstr>
      <vt:lpstr>Quantity_Tenant6_Standard_D2_v2</vt:lpstr>
      <vt:lpstr>Quantity_Tenant6_Standard_D2_V3</vt:lpstr>
      <vt:lpstr>Quantity_Tenant6_Standard_D3</vt:lpstr>
      <vt:lpstr>Quantity_Tenant6_Standard_D3_v2</vt:lpstr>
      <vt:lpstr>Quantity_Tenant6_Standard_D32_V3</vt:lpstr>
      <vt:lpstr>Quantity_Tenant6_Standard_D4</vt:lpstr>
      <vt:lpstr>Quantity_Tenant6_Standard_D4_v2</vt:lpstr>
      <vt:lpstr>Quantity_Tenant6_Standard_D4_V3</vt:lpstr>
      <vt:lpstr>Quantity_Tenant6_Standard_D5_v2</vt:lpstr>
      <vt:lpstr>Quantity_Tenant6_Standard_D8_V3</vt:lpstr>
      <vt:lpstr>Quantity_Tenant6_Standard_DS1</vt:lpstr>
      <vt:lpstr>Quantity_Tenant6_Standard_DS1_v2</vt:lpstr>
      <vt:lpstr>Quantity_Tenant6_Standard_DS11</vt:lpstr>
      <vt:lpstr>Quantity_Tenant6_Standard_DS11_1_v2</vt:lpstr>
      <vt:lpstr>Quantity_Tenant6_Standard_DS11_v2</vt:lpstr>
      <vt:lpstr>Quantity_Tenant6_Standard_DS12</vt:lpstr>
      <vt:lpstr>Quantity_Tenant6_Standard_DS12_1_v2</vt:lpstr>
      <vt:lpstr>Quantity_Tenant6_Standard_DS12_2_v2</vt:lpstr>
      <vt:lpstr>Quantity_Tenant6_Standard_DS12_v2</vt:lpstr>
      <vt:lpstr>Quantity_Tenant6_Standard_DS13</vt:lpstr>
      <vt:lpstr>Quantity_Tenant6_Standard_DS13_2_v2</vt:lpstr>
      <vt:lpstr>Quantity_Tenant6_Standard_DS13_4_v2</vt:lpstr>
      <vt:lpstr>Quantity_Tenant6_Standard_DS13_v2</vt:lpstr>
      <vt:lpstr>Quantity_Tenant6_Standard_DS14</vt:lpstr>
      <vt:lpstr>Quantity_Tenant6_Standard_DS14_4_v2</vt:lpstr>
      <vt:lpstr>Quantity_Tenant6_Standard_DS14_8_v2</vt:lpstr>
      <vt:lpstr>Quantity_Tenant6_Standard_DS14_v2</vt:lpstr>
      <vt:lpstr>Quantity_Tenant6_Standard_DS2</vt:lpstr>
      <vt:lpstr>Quantity_Tenant6_Standard_DS2_v2</vt:lpstr>
      <vt:lpstr>Quantity_Tenant6_Standard_DS3</vt:lpstr>
      <vt:lpstr>Quantity_Tenant6_Standard_DS3_v2</vt:lpstr>
      <vt:lpstr>Quantity_Tenant6_Standard_DS4</vt:lpstr>
      <vt:lpstr>Quantity_Tenant6_Standard_DS4_v2</vt:lpstr>
      <vt:lpstr>Quantity_Tenant6_Standard_DS5_v2</vt:lpstr>
      <vt:lpstr>Quantity_Tenant6_Standard_E16_v3</vt:lpstr>
      <vt:lpstr>Quantity_Tenant6_Standard_E2_v3</vt:lpstr>
      <vt:lpstr>Quantity_Tenant6_Standard_E20_v3</vt:lpstr>
      <vt:lpstr>Quantity_Tenant6_Standard_E4_v3</vt:lpstr>
      <vt:lpstr>Quantity_Tenant6_Standard_E8_v3</vt:lpstr>
      <vt:lpstr>Quantity_Tenant6_Standard_F1</vt:lpstr>
      <vt:lpstr>Quantity_Tenant6_Standard_F16</vt:lpstr>
      <vt:lpstr>Quantity_Tenant6_Standard_F16s</vt:lpstr>
      <vt:lpstr>Quantity_Tenant6_Standard_F16s_v2</vt:lpstr>
      <vt:lpstr>Quantity_Tenant6_Standard_F1s</vt:lpstr>
      <vt:lpstr>Quantity_Tenant6_Standard_F2</vt:lpstr>
      <vt:lpstr>Quantity_Tenant6_Standard_F2s</vt:lpstr>
      <vt:lpstr>Quantity_Tenant6_Standard_F2s_v2</vt:lpstr>
      <vt:lpstr>Quantity_Tenant6_Standard_F32s_v2</vt:lpstr>
      <vt:lpstr>Quantity_Tenant6_Standard_F4</vt:lpstr>
      <vt:lpstr>Quantity_Tenant6_Standard_F4s</vt:lpstr>
      <vt:lpstr>Quantity_Tenant6_Standard_F4s_v2</vt:lpstr>
      <vt:lpstr>Quantity_Tenant6_Standard_F64s_v2</vt:lpstr>
      <vt:lpstr>Quantity_Tenant6_Standard_F8</vt:lpstr>
      <vt:lpstr>Quantity_Tenant6_Standard_F8s</vt:lpstr>
      <vt:lpstr>Quantity_Tenant6_Standard_F8s_v2</vt:lpstr>
      <vt:lpstr>Quantity_Tenant6_Standard_NC12s_v3</vt:lpstr>
      <vt:lpstr>Quantity_Tenant6_Standard_NC16as_T4_v3</vt:lpstr>
      <vt:lpstr>Quantity_Tenant6_Standard_NC24ads_A100_v4</vt:lpstr>
      <vt:lpstr>Quantity_Tenant6_Standard_NC24s_v3</vt:lpstr>
      <vt:lpstr>Quantity_Tenant6_Standard_NC48ads_A100_v4</vt:lpstr>
      <vt:lpstr>Quantity_Tenant6_Standard_NC4as_T4_v3</vt:lpstr>
      <vt:lpstr>Quantity_Tenant6_Standard_NC64as_T4_v3</vt:lpstr>
      <vt:lpstr>Quantity_Tenant6_Standard_NC6s_v3</vt:lpstr>
      <vt:lpstr>Quantity_Tenant6_Standard_NC8as_T4_v3</vt:lpstr>
      <vt:lpstr>Quantity_Tenant6_Standard_NV16as_v4</vt:lpstr>
      <vt:lpstr>Quantity_Tenant6_Standard_NV32as_v4</vt:lpstr>
      <vt:lpstr>Quantity_Tenant6_Standard_NV4as_v4</vt:lpstr>
      <vt:lpstr>Quantity_Tenant6_Standard_NV8as_v4</vt:lpstr>
      <vt:lpstr>Quantity_Tenant6_VM1</vt:lpstr>
      <vt:lpstr>Quantity_Tenant6_VM3</vt:lpstr>
      <vt:lpstr>Quantity_Tenant6_VM4</vt:lpstr>
      <vt:lpstr>Quantity_Tenant6_VM5</vt:lpstr>
      <vt:lpstr>Quantity_Type1_Tenants</vt:lpstr>
      <vt:lpstr>Quantity_Type2_Tenants</vt:lpstr>
      <vt:lpstr>Quantity_Type3_Tenants</vt:lpstr>
      <vt:lpstr>Quantity_Type4_Tenants</vt:lpstr>
      <vt:lpstr>Quantity_Type5_Tenants</vt:lpstr>
      <vt:lpstr>Quantity_Type6_Tenants</vt:lpstr>
      <vt:lpstr>Quantity_VtoP_core_ratio</vt:lpstr>
      <vt:lpstr>RatioVtoPInfrastructureCPU</vt:lpstr>
      <vt:lpstr>Ref_WorkloadStorageCapacity!RawCapacityTB</vt:lpstr>
      <vt:lpstr>RawCapacityTB</vt:lpstr>
      <vt:lpstr>Ref_WorkloadStorageCapacity!RawCapacityTiB</vt:lpstr>
      <vt:lpstr>RawCapacityTiB</vt:lpstr>
      <vt:lpstr>Ref_WorkloadStorageCapacity!RegenReserveTB</vt:lpstr>
      <vt:lpstr>RegenReserveTB</vt:lpstr>
      <vt:lpstr>S2D_Available_Capacity</vt:lpstr>
      <vt:lpstr>S2D_Available_Tenant_Capacity</vt:lpstr>
      <vt:lpstr>Ref_WorkloadStorageCapacity!S2D_Cache_as__Available_Capacity</vt:lpstr>
      <vt:lpstr>S2D_Cache_as__Available_Capacity</vt:lpstr>
      <vt:lpstr>Selected_GPU_Partition_Number</vt:lpstr>
      <vt:lpstr>Selected_Largest_HA_Tenant</vt:lpstr>
      <vt:lpstr>Selected_Largest_HAVM</vt:lpstr>
      <vt:lpstr>Selected_Largest_HAWorkload</vt:lpstr>
      <vt:lpstr>Selected_Tenant_SKU</vt:lpstr>
      <vt:lpstr>Selected_VM_SKU</vt:lpstr>
      <vt:lpstr>ServerCoresForHostPercent</vt:lpstr>
      <vt:lpstr>Sku_1__total_Infrastructure_Memory</vt:lpstr>
      <vt:lpstr>Sku_1_Allocable_Temp</vt:lpstr>
      <vt:lpstr>Sku_1_Available_GPU_Number</vt:lpstr>
      <vt:lpstr>Sku_1_Cache_Capacity</vt:lpstr>
      <vt:lpstr>Sku_1_Cache_Count</vt:lpstr>
      <vt:lpstr>Sku_1_Capacity_Capacity</vt:lpstr>
      <vt:lpstr>Sku_1_Capacity_Count</vt:lpstr>
      <vt:lpstr>Sku_1_Consumed_GPU</vt:lpstr>
      <vt:lpstr>Sku_1_Core_Count</vt:lpstr>
      <vt:lpstr>Sku_1_Cores_Infrastructure</vt:lpstr>
      <vt:lpstr>Sku_1_Cores_Raw</vt:lpstr>
      <vt:lpstr>Sku_1_CPU_Count</vt:lpstr>
      <vt:lpstr>Sku_1_GPU_Number</vt:lpstr>
      <vt:lpstr>SKU_1_Head</vt:lpstr>
      <vt:lpstr>Sku_1_Host_Overhead</vt:lpstr>
      <vt:lpstr>Sku_1_Memory</vt:lpstr>
      <vt:lpstr>Sku_1_Memory_for_GPU_VMs</vt:lpstr>
      <vt:lpstr>Sku_1_Memory_for_VMs</vt:lpstr>
      <vt:lpstr>Sku_1_Memory_Overhead</vt:lpstr>
      <vt:lpstr>Sku_1_Memory_Raw</vt:lpstr>
      <vt:lpstr>Sku_1_Mirrors</vt:lpstr>
      <vt:lpstr>Sku_1_Name</vt:lpstr>
      <vt:lpstr>Sku_1_Raw_Temp</vt:lpstr>
      <vt:lpstr>Sku_1_Reserved_Memory</vt:lpstr>
      <vt:lpstr>Sku_1_Servers</vt:lpstr>
      <vt:lpstr>Sku_1_Temp_Avail_Capacity</vt:lpstr>
      <vt:lpstr>Sku_1_Temp_Disk_Value</vt:lpstr>
      <vt:lpstr>Sku_1_Temp_per_Server</vt:lpstr>
      <vt:lpstr>Sku_1_Temp_per_Tenant</vt:lpstr>
      <vt:lpstr>Sku_1_Tenant_Allocable_Temp</vt:lpstr>
      <vt:lpstr>Sku_1_Tenant_Cores_Infrastructure</vt:lpstr>
      <vt:lpstr>Sku_1_Tenant_Cores_Raw</vt:lpstr>
      <vt:lpstr>Sku_1_Tenant_Host_Overhead</vt:lpstr>
      <vt:lpstr>Sku_1_Tenant_Memory_for_VMs</vt:lpstr>
      <vt:lpstr>Sku_1_Tenant_Memory_GPU_VMs</vt:lpstr>
      <vt:lpstr>Sku_1_Tenant_Memory_Overhead</vt:lpstr>
      <vt:lpstr>Sku_1_Tenant_Memory_Raw</vt:lpstr>
      <vt:lpstr>Sku_1_Tenant_Mirrors</vt:lpstr>
      <vt:lpstr>Sku_1_Tenant_Raw_Temp</vt:lpstr>
      <vt:lpstr>Sku_1_Tenant_Reserved_Memory</vt:lpstr>
      <vt:lpstr>Sku_1_Tenant_Servers</vt:lpstr>
      <vt:lpstr>Sku_1_Tenant_Temp_Avail_Capacity</vt:lpstr>
      <vt:lpstr>Sku_1_Tenant_Temp_Disk_Value</vt:lpstr>
      <vt:lpstr>Sku_1_Tenant_Temp_per_Server</vt:lpstr>
      <vt:lpstr>Sku_1_Tenant_Temp_per_Tenant</vt:lpstr>
      <vt:lpstr>Sku_1_Tenant_Total_Cores</vt:lpstr>
      <vt:lpstr>Sku_1_Tenant_Total_Storage</vt:lpstr>
      <vt:lpstr>Sku_1_Total_Cores</vt:lpstr>
      <vt:lpstr>Sku_1_total_Infrastructure_Memory</vt:lpstr>
      <vt:lpstr>Sku_1_Total_Storage</vt:lpstr>
      <vt:lpstr>Sku_1_total_Tenant_Infrastructure_Memory</vt:lpstr>
      <vt:lpstr>Sku_2_Allocable_Temp</vt:lpstr>
      <vt:lpstr>Sku_2_Available_GPU_Number</vt:lpstr>
      <vt:lpstr>Sku_2_Cache_Capacity</vt:lpstr>
      <vt:lpstr>Sku_2_Cache_Count</vt:lpstr>
      <vt:lpstr>Sku_2_Capacity_Capacity</vt:lpstr>
      <vt:lpstr>Sku_2_Capacity_Count</vt:lpstr>
      <vt:lpstr>Sku_2_Consumed_GPU</vt:lpstr>
      <vt:lpstr>Sku_2_Core_Count</vt:lpstr>
      <vt:lpstr>Sku_2_Cores_Infrastructure</vt:lpstr>
      <vt:lpstr>Sku_2_Cores_Raw</vt:lpstr>
      <vt:lpstr>Sku_2_CPU_Count</vt:lpstr>
      <vt:lpstr>Sku_2_GPU_Number</vt:lpstr>
      <vt:lpstr>SKU_2_Head</vt:lpstr>
      <vt:lpstr>Sku_2_Host_Overhead</vt:lpstr>
      <vt:lpstr>Sku_2_Memory</vt:lpstr>
      <vt:lpstr>Sku_2_Memory_for_GPU_VMs</vt:lpstr>
      <vt:lpstr>Sku_2_Memory_for_VMs</vt:lpstr>
      <vt:lpstr>Sku_2_Memory_Overhead</vt:lpstr>
      <vt:lpstr>Sku_2_Memory_Raw</vt:lpstr>
      <vt:lpstr>Sku_2_Mirrors</vt:lpstr>
      <vt:lpstr>Sku_2_Name</vt:lpstr>
      <vt:lpstr>Sku_2_Raw_Temp</vt:lpstr>
      <vt:lpstr>Sku_2_Reserved_Memory</vt:lpstr>
      <vt:lpstr>Sku_2_Servers</vt:lpstr>
      <vt:lpstr>Sku_2_Temp_Avail_Capacity</vt:lpstr>
      <vt:lpstr>Sku_2_Temp_Disk_Value</vt:lpstr>
      <vt:lpstr>Sku_2_Temp_per_Server</vt:lpstr>
      <vt:lpstr>Sku_2_Temp_per_Tenant</vt:lpstr>
      <vt:lpstr>Sku_2_Tenant_Allocable_Temp</vt:lpstr>
      <vt:lpstr>Sku_2_Tenant_Cores_Infrastructure</vt:lpstr>
      <vt:lpstr>Sku_2_Tenant_Cores_Raw</vt:lpstr>
      <vt:lpstr>Sku_2_Tenant_Host_Overhead</vt:lpstr>
      <vt:lpstr>Sku_2_Tenant_Memory_for_VMs</vt:lpstr>
      <vt:lpstr>Sku_2_Tenant_Memory_GPU_VMs</vt:lpstr>
      <vt:lpstr>Sku_2_Tenant_Memory_Overhead</vt:lpstr>
      <vt:lpstr>Sku_2_Tenant_Memory_Raw</vt:lpstr>
      <vt:lpstr>Sku_2_Tenant_Mirrors</vt:lpstr>
      <vt:lpstr>Sku_2_Tenant_Reserved_Memory</vt:lpstr>
      <vt:lpstr>Sku_2_Tenant_Servers</vt:lpstr>
      <vt:lpstr>Sku_2_Tenant_Temp_Avail_Capacity</vt:lpstr>
      <vt:lpstr>Sku_2_Tenant_Temp_Disk_Value</vt:lpstr>
      <vt:lpstr>Sku_2_Tenant_Temp_per_Server</vt:lpstr>
      <vt:lpstr>Sku_2_Tenant_Temp_per_Tenant</vt:lpstr>
      <vt:lpstr>Sku_2_Tenant_Total_Cores</vt:lpstr>
      <vt:lpstr>Sku_2_Tenant_Total_Storage</vt:lpstr>
      <vt:lpstr>Sku_2_Total_Cores</vt:lpstr>
      <vt:lpstr>Sku_2_total_Infrastructure_Memory</vt:lpstr>
      <vt:lpstr>Sku_2_Total_Storage</vt:lpstr>
      <vt:lpstr>Sku_2_total_Tenant_Infrastructure_Memory</vt:lpstr>
      <vt:lpstr>Sku_3_Allocable_Temp</vt:lpstr>
      <vt:lpstr>Sku_3_Available_GPU_Number</vt:lpstr>
      <vt:lpstr>Sku_3_Cache_Capacity</vt:lpstr>
      <vt:lpstr>Sku_3_Cache_Count</vt:lpstr>
      <vt:lpstr>Sku_3_Capacity_Capacity</vt:lpstr>
      <vt:lpstr>Sku_3_Capacity_Count</vt:lpstr>
      <vt:lpstr>Sku_3_Consumed_GPU</vt:lpstr>
      <vt:lpstr>Sku_3_Core_Count</vt:lpstr>
      <vt:lpstr>Sku_3_Cores_Infrastructure</vt:lpstr>
      <vt:lpstr>Sku_3_Cores_Raw</vt:lpstr>
      <vt:lpstr>Sku_3_CPU_Count</vt:lpstr>
      <vt:lpstr>Sku_3_GPU_Number</vt:lpstr>
      <vt:lpstr>SKU_3_Head</vt:lpstr>
      <vt:lpstr>Sku_3_Host_Overhead</vt:lpstr>
      <vt:lpstr>Sku_3_Memory</vt:lpstr>
      <vt:lpstr>Sku_3_Memory_for_GPU_VMs</vt:lpstr>
      <vt:lpstr>Sku_3_Memory_for_VMs</vt:lpstr>
      <vt:lpstr>Sku_3_Memory_Overhead</vt:lpstr>
      <vt:lpstr>Sku_3_Memory_Raw</vt:lpstr>
      <vt:lpstr>Sku_3_Mirrors</vt:lpstr>
      <vt:lpstr>Sku_3_Name</vt:lpstr>
      <vt:lpstr>Sku_3_Raw_Temp</vt:lpstr>
      <vt:lpstr>Sku_3_Reserved_Memory</vt:lpstr>
      <vt:lpstr>Sku_3_Servers</vt:lpstr>
      <vt:lpstr>Sku_3_Temp_Avail_Capacity</vt:lpstr>
      <vt:lpstr>Sku_3_Temp_Disk_Value</vt:lpstr>
      <vt:lpstr>Sku_3_Temp_per_Server</vt:lpstr>
      <vt:lpstr>Sku_3_Temp_per_Tenant</vt:lpstr>
      <vt:lpstr>Sku_3_Tenant_Allocable_Temp</vt:lpstr>
      <vt:lpstr>Sku_3_Tenant_Cores_Infrastructure</vt:lpstr>
      <vt:lpstr>Sku_3_Tenant_Cores_Raw</vt:lpstr>
      <vt:lpstr>Sku_3_Tenant_Host_Overhead</vt:lpstr>
      <vt:lpstr>Sku_3_Tenant_Memory_for_VMs</vt:lpstr>
      <vt:lpstr>Sku_3_Tenant_Memory_GPU_VMs</vt:lpstr>
      <vt:lpstr>Sku_3_Tenant_Memory_Overhead</vt:lpstr>
      <vt:lpstr>Sku_3_Tenant_Memory_Raw</vt:lpstr>
      <vt:lpstr>Sku_3_Tenant_Mirrors</vt:lpstr>
      <vt:lpstr>Sku_3_Tenant_Reserved_Memory</vt:lpstr>
      <vt:lpstr>Sku_3_Tenant_Servers</vt:lpstr>
      <vt:lpstr>Sku_3_Tenant_Temp_Avail_Capacity</vt:lpstr>
      <vt:lpstr>Sku_3_Tenant_Temp_Disk_Value</vt:lpstr>
      <vt:lpstr>Sku_3_Tenant_Temp_per_Server</vt:lpstr>
      <vt:lpstr>Sku_3_Tenant_Temp_per_Tenant</vt:lpstr>
      <vt:lpstr>Sku_3_Tenant_Total_Cores</vt:lpstr>
      <vt:lpstr>Sku_3_Tenant_Total_Storage</vt:lpstr>
      <vt:lpstr>Sku_3_Total_Cores</vt:lpstr>
      <vt:lpstr>Sku_3_total_Infrastructure_Memory</vt:lpstr>
      <vt:lpstr>Sku_3_Total_Storage</vt:lpstr>
      <vt:lpstr>Sku_3_total_Tenant_Infrastructure_Memory</vt:lpstr>
      <vt:lpstr>Sku_4_Allocable_Temp</vt:lpstr>
      <vt:lpstr>Sku_4_Available_GPU_Number</vt:lpstr>
      <vt:lpstr>Sku_4_Cache_Capacity</vt:lpstr>
      <vt:lpstr>Sku_4_Cache_Count</vt:lpstr>
      <vt:lpstr>Sku_4_Capacity_Capacity</vt:lpstr>
      <vt:lpstr>Sku_4_Capacity_Count</vt:lpstr>
      <vt:lpstr>Sku_4_Consumed_GPU</vt:lpstr>
      <vt:lpstr>Sku_4_Core_Count</vt:lpstr>
      <vt:lpstr>Sku_4_Cores_Infrastructure</vt:lpstr>
      <vt:lpstr>Sku_4_Cores_Raw</vt:lpstr>
      <vt:lpstr>Sku_4_CPU_Count</vt:lpstr>
      <vt:lpstr>Sku_4_GPU_Number</vt:lpstr>
      <vt:lpstr>SKU_4_Head</vt:lpstr>
      <vt:lpstr>Sku_4_Host_Overhead</vt:lpstr>
      <vt:lpstr>Sku_4_Memory</vt:lpstr>
      <vt:lpstr>Sku_4_Memory_for_GPU_VMs</vt:lpstr>
      <vt:lpstr>Sku_4_Memory_for_VMs</vt:lpstr>
      <vt:lpstr>Sku_4_Memory_Overhead</vt:lpstr>
      <vt:lpstr>Sku_4_Memory_Raw</vt:lpstr>
      <vt:lpstr>Sku_4_Mirrors</vt:lpstr>
      <vt:lpstr>Sku_4_Name</vt:lpstr>
      <vt:lpstr>Sku_4_Raw_Temp</vt:lpstr>
      <vt:lpstr>Sku_4_Reserved_Memory</vt:lpstr>
      <vt:lpstr>Sku_4_Servers</vt:lpstr>
      <vt:lpstr>Sku_4_Temp_Avail_Capacity</vt:lpstr>
      <vt:lpstr>Sku_4_Temp_Disk_Value</vt:lpstr>
      <vt:lpstr>Sku_4_Temp_per_Server</vt:lpstr>
      <vt:lpstr>Sku_4_Temp_per_Tenant</vt:lpstr>
      <vt:lpstr>Sku_4_Tenant_Allocable_Temp</vt:lpstr>
      <vt:lpstr>Sku_4_Tenant_Cores_Infrastructure</vt:lpstr>
      <vt:lpstr>Sku_4_Tenant_Cores_Raw</vt:lpstr>
      <vt:lpstr>Sku_4_Tenant_Host_Overhead</vt:lpstr>
      <vt:lpstr>Sku_4_Tenant_Memory_for_VMs</vt:lpstr>
      <vt:lpstr>Sku_4_Tenant_Memory_GPU_VMs</vt:lpstr>
      <vt:lpstr>Sku_4_Tenant_Memory_Overhead</vt:lpstr>
      <vt:lpstr>Sku_4_Tenant_Memory_Raw</vt:lpstr>
      <vt:lpstr>Sku_4_Tenant_Mirrors</vt:lpstr>
      <vt:lpstr>Sku_4_Tenant_Reserved_Memory</vt:lpstr>
      <vt:lpstr>Sku_4_Tenant_Servers</vt:lpstr>
      <vt:lpstr>Sku_4_Tenant_Temp_Avail_Capacity</vt:lpstr>
      <vt:lpstr>Sku_4_Tenant_Temp_Disk_Value</vt:lpstr>
      <vt:lpstr>Sku_4_Tenant_Temp_per_Server</vt:lpstr>
      <vt:lpstr>Sku_4_Tenant_Temp_per_Tenant</vt:lpstr>
      <vt:lpstr>Sku_4_Tenant_Total_Cores</vt:lpstr>
      <vt:lpstr>Sku_4_Tenant_Total_Storage</vt:lpstr>
      <vt:lpstr>Sku_4_Total_Cores</vt:lpstr>
      <vt:lpstr>Sku_4_total_Infrastructure_Memory</vt:lpstr>
      <vt:lpstr>Sku_4_Total_Storage</vt:lpstr>
      <vt:lpstr>Sku_4_total_Tenant_Infrastructure_Memory</vt:lpstr>
      <vt:lpstr>Sku_5_Allocable_Temp</vt:lpstr>
      <vt:lpstr>Sku_5_Available_GPU_Number</vt:lpstr>
      <vt:lpstr>Sku_5_Cache_Capacity</vt:lpstr>
      <vt:lpstr>Sku_5_Cache_Count</vt:lpstr>
      <vt:lpstr>Sku_5_Capacity_Capacity</vt:lpstr>
      <vt:lpstr>Sku_5_Capacity_Count</vt:lpstr>
      <vt:lpstr>Sku_5_Consumed_GPU</vt:lpstr>
      <vt:lpstr>Sku_5_Core_Count</vt:lpstr>
      <vt:lpstr>Sku_5_Cores_Infrastructure</vt:lpstr>
      <vt:lpstr>Sku_5_Cores_Raw</vt:lpstr>
      <vt:lpstr>Sku_5_CPU_Count</vt:lpstr>
      <vt:lpstr>Sku_5_GPU_Number</vt:lpstr>
      <vt:lpstr>SKU_5_Head</vt:lpstr>
      <vt:lpstr>Sku_5_Host_Overhead</vt:lpstr>
      <vt:lpstr>Sku_5_Memory</vt:lpstr>
      <vt:lpstr>Sku_5_Memory_for_GPU_VMs</vt:lpstr>
      <vt:lpstr>Sku_5_Memory_for_VMs</vt:lpstr>
      <vt:lpstr>Sku_5_Memory_Overhead</vt:lpstr>
      <vt:lpstr>Sku_5_Memory_Raw</vt:lpstr>
      <vt:lpstr>Sku_5_Mirrors</vt:lpstr>
      <vt:lpstr>Sku_5_Name</vt:lpstr>
      <vt:lpstr>Sku_5_Raw_Temp</vt:lpstr>
      <vt:lpstr>Sku_5_Reserved_Memory</vt:lpstr>
      <vt:lpstr>Sku_5_Servers</vt:lpstr>
      <vt:lpstr>Sku_5_Temp_Avail_Capacity</vt:lpstr>
      <vt:lpstr>Sku_5_Temp_Disk_Value</vt:lpstr>
      <vt:lpstr>Sku_5_Temp_per_Server</vt:lpstr>
      <vt:lpstr>Sku_5_Temp_per_Tenant</vt:lpstr>
      <vt:lpstr>Sku_5_Tenant_Allocable_Temp</vt:lpstr>
      <vt:lpstr>Sku_5_Tenant_Cores_Infrastructure</vt:lpstr>
      <vt:lpstr>Sku_5_Tenant_Cores_Raw</vt:lpstr>
      <vt:lpstr>Sku_5_Tenant_Host_Overhead</vt:lpstr>
      <vt:lpstr>Sku_5_Tenant_Memory_for_VMs</vt:lpstr>
      <vt:lpstr>Sku_5_Tenant_Memory_GPU_VMs</vt:lpstr>
      <vt:lpstr>Sku_5_Tenant_Memory_Overhead</vt:lpstr>
      <vt:lpstr>Sku_5_Tenant_Memory_Raw</vt:lpstr>
      <vt:lpstr>Sku_5_Tenant_Mirrors</vt:lpstr>
      <vt:lpstr>Sku_5_Tenant_Raw_Temp</vt:lpstr>
      <vt:lpstr>Sku_5_Tenant_Reserved_Memory</vt:lpstr>
      <vt:lpstr>Sku_5_Tenant_Servers</vt:lpstr>
      <vt:lpstr>Sku_5_Tenant_Temp_Avail_Capacity</vt:lpstr>
      <vt:lpstr>Sku_5_Tenant_Temp_Disk_Value</vt:lpstr>
      <vt:lpstr>Sku_5_Tenant_Temp_per_Server</vt:lpstr>
      <vt:lpstr>Sku_5_Tenant_Temp_per_Tenant</vt:lpstr>
      <vt:lpstr>Sku_5_Tenant_Total_Cores</vt:lpstr>
      <vt:lpstr>Sku_5_Tenant_Total_Storage</vt:lpstr>
      <vt:lpstr>Sku_5_Total_Cores</vt:lpstr>
      <vt:lpstr>Sku_5_total_Infrastructure_Memory</vt:lpstr>
      <vt:lpstr>Sku_5_Total_Storage</vt:lpstr>
      <vt:lpstr>Sku_5_total_Tenant_Infrastructure_Memory</vt:lpstr>
      <vt:lpstr>Sku_6_Allocable_Temp</vt:lpstr>
      <vt:lpstr>sku_6_AMD_converted_partition_number</vt:lpstr>
      <vt:lpstr>Sku_6_Available_GPU_Number</vt:lpstr>
      <vt:lpstr>Sku_6_Cache_Capacity</vt:lpstr>
      <vt:lpstr>Sku_6_Cache_Count</vt:lpstr>
      <vt:lpstr>Sku_6_Capacity_Capacity</vt:lpstr>
      <vt:lpstr>Sku_6_Capacity_Count</vt:lpstr>
      <vt:lpstr>Sku_6_Consumed_GPU</vt:lpstr>
      <vt:lpstr>sku_6_converted_partition_number</vt:lpstr>
      <vt:lpstr>Sku_6_Core_Count</vt:lpstr>
      <vt:lpstr>Sku_6_Cores_Infrastructure</vt:lpstr>
      <vt:lpstr>Sku_6_Cores_Raw</vt:lpstr>
      <vt:lpstr>Sku_6_CPU_Count</vt:lpstr>
      <vt:lpstr>Sku_6_GPU_Available_Number</vt:lpstr>
      <vt:lpstr>Sku_6_GPU_Number</vt:lpstr>
      <vt:lpstr>Sku_6_GPU_Partition_Number</vt:lpstr>
      <vt:lpstr>Sku_6_GPU_Partition_Type</vt:lpstr>
      <vt:lpstr>Sku_6_GPU_Type</vt:lpstr>
      <vt:lpstr>Sku_6_Host_Overhead</vt:lpstr>
      <vt:lpstr>Sku_6_Memory</vt:lpstr>
      <vt:lpstr>Sku_6_Memory_for_GPU_VMs</vt:lpstr>
      <vt:lpstr>Sku_6_Memory_for_VMs</vt:lpstr>
      <vt:lpstr>Sku_6_Memory_Overhead</vt:lpstr>
      <vt:lpstr>Sku_6_Memory_Raw</vt:lpstr>
      <vt:lpstr>Sku_6_Mirrors</vt:lpstr>
      <vt:lpstr>Sku_6_Raw_Temp</vt:lpstr>
      <vt:lpstr>Sku_6_Reserved_Memory</vt:lpstr>
      <vt:lpstr>Sku_6_Servers</vt:lpstr>
      <vt:lpstr>Sku_6_Temp_Avail_Capacity</vt:lpstr>
      <vt:lpstr>Sku_6_Temp_Disk_Value</vt:lpstr>
      <vt:lpstr>Sku_6_Temp_per_Server</vt:lpstr>
      <vt:lpstr>Sku_6_Temp_per_Tenant</vt:lpstr>
      <vt:lpstr>Sku_6_Tenant_Allocable_Temp</vt:lpstr>
      <vt:lpstr>Sku_6_Tenant_Cores_Infrastructure</vt:lpstr>
      <vt:lpstr>Sku_6_Tenant_Cores_Raw</vt:lpstr>
      <vt:lpstr>Sku_6_Tenant_Host_Overhead</vt:lpstr>
      <vt:lpstr>Sku_6_Tenant_Memory_for_VMs</vt:lpstr>
      <vt:lpstr>Sku_6_Tenant_Memory_GPU_VMs</vt:lpstr>
      <vt:lpstr>Sku_6_Tenant_Memory_Overhead</vt:lpstr>
      <vt:lpstr>Sku_6_Tenant_Memory_Raw</vt:lpstr>
      <vt:lpstr>Sku_6_Tenant_Mirrors</vt:lpstr>
      <vt:lpstr>Sku_6_Tenant_Raw_Temp</vt:lpstr>
      <vt:lpstr>Sku_6_Tenant_Reserved_Memory</vt:lpstr>
      <vt:lpstr>Sku_6_Tenant_Servers</vt:lpstr>
      <vt:lpstr>Sku_6_Tenant_Temp_Avail_Capacity</vt:lpstr>
      <vt:lpstr>Sku_6_Tenant_Temp_Disk_Value</vt:lpstr>
      <vt:lpstr>Sku_6_Tenant_Temp_per_Server</vt:lpstr>
      <vt:lpstr>Sku_6_Tenant_Temp_per_Tenant</vt:lpstr>
      <vt:lpstr>Sku_6_Tenant_Total_Cores</vt:lpstr>
      <vt:lpstr>Sku_6_Tenant_Total_Storage</vt:lpstr>
      <vt:lpstr>Sku_6_Total_Cores</vt:lpstr>
      <vt:lpstr>Sku_6_total_Infrastructure_Memory</vt:lpstr>
      <vt:lpstr>Sku_6_Total_Storage</vt:lpstr>
      <vt:lpstr>Sku_6_total_Tenant_Infrastructure_Memory</vt:lpstr>
      <vt:lpstr>SKU1_Available_Workload_GPU</vt:lpstr>
      <vt:lpstr>Sku1_Tenant_Total_GPU</vt:lpstr>
      <vt:lpstr>SKU2_Available_Workload_GPU</vt:lpstr>
      <vt:lpstr>Sku2_Tenant_Total_GPU</vt:lpstr>
      <vt:lpstr>SKU3_Available_Workload_GPU</vt:lpstr>
      <vt:lpstr>Sku3_Tenant_Total_GPU</vt:lpstr>
      <vt:lpstr>SKU4_Available_Workload_GPU</vt:lpstr>
      <vt:lpstr>Sku4_Tenant_Total_GPU</vt:lpstr>
      <vt:lpstr>SKU5_Available_Workload_GPU</vt:lpstr>
      <vt:lpstr>Sku5_Tenant_Total_GPU</vt:lpstr>
      <vt:lpstr>SKU6_Available_Workload_GPU</vt:lpstr>
      <vt:lpstr>Sku6_Tenant_Total_GPU</vt:lpstr>
      <vt:lpstr>Standard_A0_Cores</vt:lpstr>
      <vt:lpstr>Standard_A0_Disk</vt:lpstr>
      <vt:lpstr>Standard_A0_Memory</vt:lpstr>
      <vt:lpstr>Standard_A0_Temp</vt:lpstr>
      <vt:lpstr>Standard_A1_Cores</vt:lpstr>
      <vt:lpstr>Standard_A1_Disk</vt:lpstr>
      <vt:lpstr>Standard_A1_Memory</vt:lpstr>
      <vt:lpstr>Standard_A1_Temp</vt:lpstr>
      <vt:lpstr>Standard_A1_v2_Cores</vt:lpstr>
      <vt:lpstr>Standard_A1_v2_Disk</vt:lpstr>
      <vt:lpstr>Standard_A1_v2_Memory</vt:lpstr>
      <vt:lpstr>Standard_A1_v2_Temp</vt:lpstr>
      <vt:lpstr>Standard_A2_Cores</vt:lpstr>
      <vt:lpstr>Standard_A2_Disk</vt:lpstr>
      <vt:lpstr>Standard_A2_Memory</vt:lpstr>
      <vt:lpstr>Standard_A2_Temp</vt:lpstr>
      <vt:lpstr>Standard_A2_v2_Cores</vt:lpstr>
      <vt:lpstr>Standard_A2_v2_Disk</vt:lpstr>
      <vt:lpstr>Standard_A2_v2_Memory</vt:lpstr>
      <vt:lpstr>Standard_A2_v2_Temp</vt:lpstr>
      <vt:lpstr>Standard_A2m_v2_Cores</vt:lpstr>
      <vt:lpstr>Standard_A2m_v2_Disk</vt:lpstr>
      <vt:lpstr>Standard_A2m_v2_Memory</vt:lpstr>
      <vt:lpstr>Standard_A2m_v2_Temp</vt:lpstr>
      <vt:lpstr>Standard_A3_Cores</vt:lpstr>
      <vt:lpstr>Standard_A3_Disk</vt:lpstr>
      <vt:lpstr>Standard_A3_Memory</vt:lpstr>
      <vt:lpstr>Standard_A3_Temp</vt:lpstr>
      <vt:lpstr>Standard_A4_Cores</vt:lpstr>
      <vt:lpstr>Standard_A4_Disk</vt:lpstr>
      <vt:lpstr>Standard_A4_Memory</vt:lpstr>
      <vt:lpstr>Standard_A4_Temp</vt:lpstr>
      <vt:lpstr>Standard_A4_v2_Cores</vt:lpstr>
      <vt:lpstr>Standard_A4_v2_Disk</vt:lpstr>
      <vt:lpstr>Standard_A4_v2_Memory</vt:lpstr>
      <vt:lpstr>Standard_A4_v2_Temp</vt:lpstr>
      <vt:lpstr>Standard_A4m_v2_Cores</vt:lpstr>
      <vt:lpstr>Standard_A4m_v2_Disk</vt:lpstr>
      <vt:lpstr>Standard_A4m_v2_Memory</vt:lpstr>
      <vt:lpstr>Standard_A4m_v2_Temp</vt:lpstr>
      <vt:lpstr>Standard_A5_Cores</vt:lpstr>
      <vt:lpstr>Standard_A5_Disk</vt:lpstr>
      <vt:lpstr>Standard_A5_Memory</vt:lpstr>
      <vt:lpstr>Standard_A5_Temp</vt:lpstr>
      <vt:lpstr>Standard_A6_Cores</vt:lpstr>
      <vt:lpstr>Standard_A6_Disk</vt:lpstr>
      <vt:lpstr>Standard_A6_Memory</vt:lpstr>
      <vt:lpstr>Standard_A6_Temp</vt:lpstr>
      <vt:lpstr>Standard_A7_Cores</vt:lpstr>
      <vt:lpstr>Standard_A7_Disk</vt:lpstr>
      <vt:lpstr>Standard_A7_Memory</vt:lpstr>
      <vt:lpstr>Standard_A7_Temp</vt:lpstr>
      <vt:lpstr>Standard_A8_v2_Cores</vt:lpstr>
      <vt:lpstr>Standard_A8_v2_Disk</vt:lpstr>
      <vt:lpstr>Standard_A8_v2_Memory</vt:lpstr>
      <vt:lpstr>Standard_A8_v2_Temp</vt:lpstr>
      <vt:lpstr>Standard_A8m_v2_Cores</vt:lpstr>
      <vt:lpstr>Standard_A8m_v2_Disk</vt:lpstr>
      <vt:lpstr>Standard_A8m_v2_Memory</vt:lpstr>
      <vt:lpstr>Standard_A8m_v2_Temp</vt:lpstr>
      <vt:lpstr>Standard_D1_Cores</vt:lpstr>
      <vt:lpstr>Standard_D1_Disk</vt:lpstr>
      <vt:lpstr>Standard_D1_Memory</vt:lpstr>
      <vt:lpstr>Standard_D1_Temp</vt:lpstr>
      <vt:lpstr>Standard_D1_v2_Cores</vt:lpstr>
      <vt:lpstr>Standard_D1_v2_Disk</vt:lpstr>
      <vt:lpstr>Standard_D1_v2_Memory</vt:lpstr>
      <vt:lpstr>Standard_D1_v2_Temp</vt:lpstr>
      <vt:lpstr>Standard_D11_Cores</vt:lpstr>
      <vt:lpstr>Standard_D11_Disk</vt:lpstr>
      <vt:lpstr>Standard_D11_Memory</vt:lpstr>
      <vt:lpstr>Standard_D11_Temp</vt:lpstr>
      <vt:lpstr>Standard_D11_v2_Cores</vt:lpstr>
      <vt:lpstr>Standard_D11_v2_Disk</vt:lpstr>
      <vt:lpstr>Standard_D11_v2_Memory</vt:lpstr>
      <vt:lpstr>Standard_D11_v2_Temp</vt:lpstr>
      <vt:lpstr>Standard_D12_Cores</vt:lpstr>
      <vt:lpstr>Standard_D12_Disk</vt:lpstr>
      <vt:lpstr>Standard_D12_Memory</vt:lpstr>
      <vt:lpstr>Standard_D12_Temp</vt:lpstr>
      <vt:lpstr>Standard_D12_v2_Cores</vt:lpstr>
      <vt:lpstr>Standard_D12_v2_Disk</vt:lpstr>
      <vt:lpstr>Standard_D12_v2_Memory</vt:lpstr>
      <vt:lpstr>Standard_D12_v2_Temp</vt:lpstr>
      <vt:lpstr>Standard_D13_Cores</vt:lpstr>
      <vt:lpstr>Standard_D13_Disk</vt:lpstr>
      <vt:lpstr>Standard_D13_Memory</vt:lpstr>
      <vt:lpstr>Standard_D13_Temp</vt:lpstr>
      <vt:lpstr>Standard_D13_v2_Cores</vt:lpstr>
      <vt:lpstr>Standard_D13_v2_Disk</vt:lpstr>
      <vt:lpstr>Standard_D13_v2_Memory</vt:lpstr>
      <vt:lpstr>Standard_D13_v2_Temp</vt:lpstr>
      <vt:lpstr>Standard_D14_Cores</vt:lpstr>
      <vt:lpstr>Standard_D14_Disk</vt:lpstr>
      <vt:lpstr>Standard_D14_Memory</vt:lpstr>
      <vt:lpstr>Standard_D14_Temp</vt:lpstr>
      <vt:lpstr>Standard_D14_v2_Cores</vt:lpstr>
      <vt:lpstr>Standard_D14_v2_Disk</vt:lpstr>
      <vt:lpstr>Standard_D14_v2_Memory</vt:lpstr>
      <vt:lpstr>Standard_D14_v2_Temp</vt:lpstr>
      <vt:lpstr>Standard_D16_V3_Cores</vt:lpstr>
      <vt:lpstr>Standard_D16_V3_Disk</vt:lpstr>
      <vt:lpstr>Standard_D16_V3_Memory</vt:lpstr>
      <vt:lpstr>Standard_D16_V3_Temp</vt:lpstr>
      <vt:lpstr>Standard_D2_Cores</vt:lpstr>
      <vt:lpstr>Standard_D2_Disk</vt:lpstr>
      <vt:lpstr>Standard_D2_Memory</vt:lpstr>
      <vt:lpstr>Standard_D2_Temp</vt:lpstr>
      <vt:lpstr>Standard_D2_v2_Cores</vt:lpstr>
      <vt:lpstr>Standard_D2_v2_Disk</vt:lpstr>
      <vt:lpstr>Standard_D2_v2_Memory</vt:lpstr>
      <vt:lpstr>Standard_D2_v2_Temp</vt:lpstr>
      <vt:lpstr>Standard_D2_V3_Cores</vt:lpstr>
      <vt:lpstr>Standard_D2_V3_Disk</vt:lpstr>
      <vt:lpstr>Standard_D2_V3_Memory</vt:lpstr>
      <vt:lpstr>Standard_D2_V3_Temp</vt:lpstr>
      <vt:lpstr>Standard_D3_Cores</vt:lpstr>
      <vt:lpstr>Standard_D3_Disk</vt:lpstr>
      <vt:lpstr>Standard_D3_Memory</vt:lpstr>
      <vt:lpstr>Standard_D3_Temp</vt:lpstr>
      <vt:lpstr>Standard_D3_v2_Cores</vt:lpstr>
      <vt:lpstr>Standard_D3_v2_Disk</vt:lpstr>
      <vt:lpstr>Standard_D3_v2_Memory</vt:lpstr>
      <vt:lpstr>Standard_D3_v2_Temp</vt:lpstr>
      <vt:lpstr>Standard_D32_V3_Cores</vt:lpstr>
      <vt:lpstr>Standard_D32_V3_Disk</vt:lpstr>
      <vt:lpstr>Standard_D32_V3_Memory</vt:lpstr>
      <vt:lpstr>Standard_D32_V3_Temp</vt:lpstr>
      <vt:lpstr>Standard_D4_Cores</vt:lpstr>
      <vt:lpstr>Standard_D4_Disk</vt:lpstr>
      <vt:lpstr>Standard_D4_Memory</vt:lpstr>
      <vt:lpstr>Standard_D4_Temp</vt:lpstr>
      <vt:lpstr>Standard_D4_v2_Cores</vt:lpstr>
      <vt:lpstr>Standard_D4_v2_Disk</vt:lpstr>
      <vt:lpstr>Standard_D4_v2_Memory</vt:lpstr>
      <vt:lpstr>Standard_D4_v2_Temp</vt:lpstr>
      <vt:lpstr>Standard_D4_V3_Cores</vt:lpstr>
      <vt:lpstr>Standard_D4_V3_Disk</vt:lpstr>
      <vt:lpstr>Standard_D4_V3_Memory</vt:lpstr>
      <vt:lpstr>Standard_D4_V3_Temp</vt:lpstr>
      <vt:lpstr>Standard_D5_v2_Cores</vt:lpstr>
      <vt:lpstr>Standard_D5_v2_Disk</vt:lpstr>
      <vt:lpstr>Standard_D5_v2_Memory</vt:lpstr>
      <vt:lpstr>Standard_D5_v2_Temp</vt:lpstr>
      <vt:lpstr>Standard_D8_V3_Cores</vt:lpstr>
      <vt:lpstr>Standard_D8_V3_Disk</vt:lpstr>
      <vt:lpstr>Standard_D8_V3_Memory</vt:lpstr>
      <vt:lpstr>Standard_D8_V3_Temp</vt:lpstr>
      <vt:lpstr>Standard_DS1_Cores</vt:lpstr>
      <vt:lpstr>Standard_DS1_Disk</vt:lpstr>
      <vt:lpstr>Standard_DS1_Memory</vt:lpstr>
      <vt:lpstr>Standard_DS1_Temp</vt:lpstr>
      <vt:lpstr>Standard_DS1_v2_Cores</vt:lpstr>
      <vt:lpstr>Standard_DS1_v2_Disk</vt:lpstr>
      <vt:lpstr>Standard_DS1_v2_Memory</vt:lpstr>
      <vt:lpstr>Standard_DS1_v2_Temp</vt:lpstr>
      <vt:lpstr>Standard_DS11_1_v2_Cores</vt:lpstr>
      <vt:lpstr>Standard_DS11_1_v2_Disk</vt:lpstr>
      <vt:lpstr>Standard_DS11_1_v2_Memory</vt:lpstr>
      <vt:lpstr>Standard_DS11_1_v2_Temp</vt:lpstr>
      <vt:lpstr>Standard_DS11_Cores</vt:lpstr>
      <vt:lpstr>Standard_DS11_Disk</vt:lpstr>
      <vt:lpstr>Standard_DS11_Memory</vt:lpstr>
      <vt:lpstr>Standard_DS11_Temp</vt:lpstr>
      <vt:lpstr>Standard_DS11_v2_Cores</vt:lpstr>
      <vt:lpstr>Standard_DS11_v2_Disk</vt:lpstr>
      <vt:lpstr>Standard_DS11_v2_Memory</vt:lpstr>
      <vt:lpstr>Standard_DS11_v2_Temp</vt:lpstr>
      <vt:lpstr>Standard_DS12_1_v2_Cores</vt:lpstr>
      <vt:lpstr>Standard_DS12_1_v2_Disk</vt:lpstr>
      <vt:lpstr>Standard_DS12_1_v2_Memory</vt:lpstr>
      <vt:lpstr>Standard_DS12_1_v2_Temp</vt:lpstr>
      <vt:lpstr>Standard_DS12_2_v2_Cores</vt:lpstr>
      <vt:lpstr>Standard_DS12_2_v2_Disk</vt:lpstr>
      <vt:lpstr>Standard_DS12_2_v2_Memory</vt:lpstr>
      <vt:lpstr>Standard_DS12_2_v2_Temp</vt:lpstr>
      <vt:lpstr>Standard_DS12_Cores</vt:lpstr>
      <vt:lpstr>Standard_DS12_Disk</vt:lpstr>
      <vt:lpstr>Standard_DS12_Memory</vt:lpstr>
      <vt:lpstr>Standard_DS12_Temp</vt:lpstr>
      <vt:lpstr>Standard_DS12_v2_Cores</vt:lpstr>
      <vt:lpstr>Standard_DS12_v2_Disk</vt:lpstr>
      <vt:lpstr>Standard_DS12_v2_Memory</vt:lpstr>
      <vt:lpstr>Standard_DS12_v2_Temp</vt:lpstr>
      <vt:lpstr>Standard_DS13_2_v2_Cores</vt:lpstr>
      <vt:lpstr>Standard_DS13_2_v2_Disk</vt:lpstr>
      <vt:lpstr>Standard_DS13_2_v2_Memory</vt:lpstr>
      <vt:lpstr>Standard_DS13_2_v2_Temp</vt:lpstr>
      <vt:lpstr>Standard_DS13_4_v2_Cores</vt:lpstr>
      <vt:lpstr>Standard_DS13_4_v2_Disk</vt:lpstr>
      <vt:lpstr>Standard_DS13_4_v2_Memory</vt:lpstr>
      <vt:lpstr>Standard_DS13_4_v2_Temp</vt:lpstr>
      <vt:lpstr>Standard_DS13_Cores</vt:lpstr>
      <vt:lpstr>Standard_DS13_Disk</vt:lpstr>
      <vt:lpstr>Standard_DS13_Memory</vt:lpstr>
      <vt:lpstr>Standard_DS13_Temp</vt:lpstr>
      <vt:lpstr>Standard_DS13_v2_Cores</vt:lpstr>
      <vt:lpstr>Standard_DS13_v2_Disk</vt:lpstr>
      <vt:lpstr>Standard_DS13_v2_Memory</vt:lpstr>
      <vt:lpstr>Standard_DS13_v2_Temp</vt:lpstr>
      <vt:lpstr>Standard_DS14_4_v2_Cores</vt:lpstr>
      <vt:lpstr>Standard_DS14_4_v2_Disk</vt:lpstr>
      <vt:lpstr>Standard_DS14_4_v2_Memory</vt:lpstr>
      <vt:lpstr>Standard_DS14_4_v2_Temp</vt:lpstr>
      <vt:lpstr>Standard_DS14_8_v2_Cores</vt:lpstr>
      <vt:lpstr>Standard_DS14_8_v2_Disk</vt:lpstr>
      <vt:lpstr>Standard_DS14_8_v2_Memory</vt:lpstr>
      <vt:lpstr>Standard_DS14_8_v2_Temp</vt:lpstr>
      <vt:lpstr>Standard_DS14_Cores</vt:lpstr>
      <vt:lpstr>Standard_DS14_Disk</vt:lpstr>
      <vt:lpstr>Standard_DS14_Memory</vt:lpstr>
      <vt:lpstr>Standard_DS14_Temp</vt:lpstr>
      <vt:lpstr>Standard_DS14_v2_Cores</vt:lpstr>
      <vt:lpstr>Standard_DS14_v2_Disk</vt:lpstr>
      <vt:lpstr>Standard_DS14_v2_Memory</vt:lpstr>
      <vt:lpstr>Standard_DS14_v2_Temp</vt:lpstr>
      <vt:lpstr>Standard_DS2_Cores</vt:lpstr>
      <vt:lpstr>Standard_DS2_Disk</vt:lpstr>
      <vt:lpstr>Standard_DS2_Memory</vt:lpstr>
      <vt:lpstr>Standard_DS2_Temp</vt:lpstr>
      <vt:lpstr>Standard_DS2_v2_Cores</vt:lpstr>
      <vt:lpstr>Standard_DS2_v2_Disk</vt:lpstr>
      <vt:lpstr>Standard_DS2_v2_Memory</vt:lpstr>
      <vt:lpstr>Standard_DS2_v2_Temp</vt:lpstr>
      <vt:lpstr>Standard_DS3_Cores</vt:lpstr>
      <vt:lpstr>Standard_DS3_Disk</vt:lpstr>
      <vt:lpstr>Standard_DS3_Memory</vt:lpstr>
      <vt:lpstr>Standard_DS3_Temp</vt:lpstr>
      <vt:lpstr>Standard_DS3_v2_Cores</vt:lpstr>
      <vt:lpstr>Standard_DS3_v2_Disk</vt:lpstr>
      <vt:lpstr>Standard_DS3_v2_Memory</vt:lpstr>
      <vt:lpstr>Standard_DS3_v2_Temp</vt:lpstr>
      <vt:lpstr>Standard_DS4_Cores</vt:lpstr>
      <vt:lpstr>Standard_DS4_Disk</vt:lpstr>
      <vt:lpstr>Standard_DS4_Memory</vt:lpstr>
      <vt:lpstr>Standard_DS4_Temp</vt:lpstr>
      <vt:lpstr>Standard_DS4_v2_Cores</vt:lpstr>
      <vt:lpstr>Standard_DS4_v2_Disk</vt:lpstr>
      <vt:lpstr>Standard_DS4_v2_Memory</vt:lpstr>
      <vt:lpstr>Standard_DS4_v2_Temp</vt:lpstr>
      <vt:lpstr>Standard_DS5_v2_Cores</vt:lpstr>
      <vt:lpstr>Standard_DS5_v2_Disk</vt:lpstr>
      <vt:lpstr>Standard_DS5_v2_Memory</vt:lpstr>
      <vt:lpstr>Standard_DS5_v2_Temp</vt:lpstr>
      <vt:lpstr>Standard_E16_v3_Cores</vt:lpstr>
      <vt:lpstr>Standard_E16_v3_Disk</vt:lpstr>
      <vt:lpstr>Standard_E16_v3_Memory</vt:lpstr>
      <vt:lpstr>Standard_E16_v3_Temp</vt:lpstr>
      <vt:lpstr>Standard_E2_v3_Cores</vt:lpstr>
      <vt:lpstr>Standard_E2_v3_Disk</vt:lpstr>
      <vt:lpstr>Standard_E2_v3_Memory</vt:lpstr>
      <vt:lpstr>Standard_E2_v3_Temp</vt:lpstr>
      <vt:lpstr>Standard_E20_v3_Cores</vt:lpstr>
      <vt:lpstr>Standard_E20_v3_Disk</vt:lpstr>
      <vt:lpstr>Standard_E20_v3_Memory</vt:lpstr>
      <vt:lpstr>Standard_E20_v3_Temp</vt:lpstr>
      <vt:lpstr>Standard_E4_v3_Cores</vt:lpstr>
      <vt:lpstr>Standard_E4_v3_Disk</vt:lpstr>
      <vt:lpstr>Standard_E4_v3_Memory</vt:lpstr>
      <vt:lpstr>Standard_E4_v3_Temp</vt:lpstr>
      <vt:lpstr>Standard_E8_v3_Cores</vt:lpstr>
      <vt:lpstr>Standard_E8_v3_Disk</vt:lpstr>
      <vt:lpstr>Standard_E8_v3_Memory</vt:lpstr>
      <vt:lpstr>Standard_E8_v3_Temp</vt:lpstr>
      <vt:lpstr>Standard_F1_cores</vt:lpstr>
      <vt:lpstr>Standard_F1_Disk</vt:lpstr>
      <vt:lpstr>Standard_F1_Memory</vt:lpstr>
      <vt:lpstr>Standard_F1_Temp</vt:lpstr>
      <vt:lpstr>Standard_F16_cores</vt:lpstr>
      <vt:lpstr>Standard_F16_Disk</vt:lpstr>
      <vt:lpstr>Standard_F16_Memory</vt:lpstr>
      <vt:lpstr>Standard_F16_Temp</vt:lpstr>
      <vt:lpstr>Standard_F16s_cores</vt:lpstr>
      <vt:lpstr>Standard_F16s_Disk</vt:lpstr>
      <vt:lpstr>Standard_F16s_Memory</vt:lpstr>
      <vt:lpstr>Standard_F16s_Temp</vt:lpstr>
      <vt:lpstr>Standard_F16s_v2_Cores</vt:lpstr>
      <vt:lpstr>Standard_F16s_v2_Disk</vt:lpstr>
      <vt:lpstr>Standard_F16s_v2_Memory</vt:lpstr>
      <vt:lpstr>Standard_F16s_v2_Temp</vt:lpstr>
      <vt:lpstr>Standard_F1s_cores</vt:lpstr>
      <vt:lpstr>Standard_F1s_Disk</vt:lpstr>
      <vt:lpstr>Standard_F1s_Memory</vt:lpstr>
      <vt:lpstr>Standard_F1s_Temp</vt:lpstr>
      <vt:lpstr>Standard_F2_cores</vt:lpstr>
      <vt:lpstr>Standard_F2_Disk</vt:lpstr>
      <vt:lpstr>Standard_F2_Memory</vt:lpstr>
      <vt:lpstr>Standard_F2_Temp</vt:lpstr>
      <vt:lpstr>Standard_F2s_cores</vt:lpstr>
      <vt:lpstr>Standard_F2s_Disk</vt:lpstr>
      <vt:lpstr>Standard_F2s_Memory</vt:lpstr>
      <vt:lpstr>Standard_F2s_Temp</vt:lpstr>
      <vt:lpstr>Standard_F2s_v2_Cores</vt:lpstr>
      <vt:lpstr>Standard_F2s_v2_Disk</vt:lpstr>
      <vt:lpstr>Standard_F2s_v2_Memory</vt:lpstr>
      <vt:lpstr>Standard_F2s_v2_Temp</vt:lpstr>
      <vt:lpstr>Standard_F32s_v2_Cores</vt:lpstr>
      <vt:lpstr>Standard_F32s_v2_Disk</vt:lpstr>
      <vt:lpstr>Standard_F32s_v2_Memory</vt:lpstr>
      <vt:lpstr>Standard_F32s_v2_Temp</vt:lpstr>
      <vt:lpstr>Standard_F4_Cores</vt:lpstr>
      <vt:lpstr>Standard_F4_Disk</vt:lpstr>
      <vt:lpstr>Standard_F4_Memory</vt:lpstr>
      <vt:lpstr>Standard_F4_Temp</vt:lpstr>
      <vt:lpstr>Standard_F4s_Cores</vt:lpstr>
      <vt:lpstr>Standard_F4s_Disk</vt:lpstr>
      <vt:lpstr>Standard_F4s_Memory</vt:lpstr>
      <vt:lpstr>Standard_F4s_Temp</vt:lpstr>
      <vt:lpstr>Standard_F4s_v2_Cores</vt:lpstr>
      <vt:lpstr>Standard_F4s_v2_Disk</vt:lpstr>
      <vt:lpstr>Standard_F4s_v2_Memory</vt:lpstr>
      <vt:lpstr>Standard_F4s_v2_Temp</vt:lpstr>
      <vt:lpstr>Standard_F64s_v2_Cores</vt:lpstr>
      <vt:lpstr>Standard_F64s_v2_Disk</vt:lpstr>
      <vt:lpstr>Standard_F64s_v2_Memory</vt:lpstr>
      <vt:lpstr>Standard_F64s_v2_Temp</vt:lpstr>
      <vt:lpstr>Standard_F8_cores</vt:lpstr>
      <vt:lpstr>Standard_F8_Disk</vt:lpstr>
      <vt:lpstr>Standard_F8_Memory</vt:lpstr>
      <vt:lpstr>Standard_F8_Temp</vt:lpstr>
      <vt:lpstr>Standard_F8s_cores</vt:lpstr>
      <vt:lpstr>Standard_F8s_Disk</vt:lpstr>
      <vt:lpstr>Standard_F8s_Memory</vt:lpstr>
      <vt:lpstr>Standard_F8s_Temp</vt:lpstr>
      <vt:lpstr>Standard_F8s_v2_Cores</vt:lpstr>
      <vt:lpstr>Standard_F8s_v2_Disk</vt:lpstr>
      <vt:lpstr>Standard_F8s_v2_Memory</vt:lpstr>
      <vt:lpstr>Standard_F8s_v2_Temp</vt:lpstr>
      <vt:lpstr>Standard_NC12s_v3_Cores</vt:lpstr>
      <vt:lpstr>Standard_NC12s_v3_Disk</vt:lpstr>
      <vt:lpstr>Standard_NC12s_v3_GPU</vt:lpstr>
      <vt:lpstr>Standard_NC12s_v3_GPUMemory</vt:lpstr>
      <vt:lpstr>Standard_NC12s_v3_Memory</vt:lpstr>
      <vt:lpstr>Standard_NC12s_v3_Temp</vt:lpstr>
      <vt:lpstr>Standard_NC12s_v3_Total_GPU</vt:lpstr>
      <vt:lpstr>Standard_NC16as_T4_v3_Cores</vt:lpstr>
      <vt:lpstr>Standard_NC16as_T4_v3_Disk</vt:lpstr>
      <vt:lpstr>Standard_NC16as_T4_v3_GPU</vt:lpstr>
      <vt:lpstr>Standard_NC16as_T4_v3_GPUMemory</vt:lpstr>
      <vt:lpstr>Standard_NC16as_T4_v3_Memory</vt:lpstr>
      <vt:lpstr>Standard_NC16as_T4_v3_Temp</vt:lpstr>
      <vt:lpstr>Standard_NC16as_T4_v3_Total_GPU</vt:lpstr>
      <vt:lpstr>Standard_NC24ads_A100_v4_Cores</vt:lpstr>
      <vt:lpstr>Standard_NC24ads_A100_v4_Disk</vt:lpstr>
      <vt:lpstr>Standard_NC24ads_A100_v4_GPU</vt:lpstr>
      <vt:lpstr>Standard_NC24ads_A100_v4_GPUMemory</vt:lpstr>
      <vt:lpstr>Standard_NC24ads_A100_v4_Memory</vt:lpstr>
      <vt:lpstr>Standard_NC24ads_A100_v4_Temp</vt:lpstr>
      <vt:lpstr>Standard_NC24s_v3_Cores</vt:lpstr>
      <vt:lpstr>Standard_NC24s_v3_Disk</vt:lpstr>
      <vt:lpstr>Standard_NC24s_v3_GPU</vt:lpstr>
      <vt:lpstr>Standard_NC24s_v3_GPUMemory</vt:lpstr>
      <vt:lpstr>Standard_NC24s_v3_Memory</vt:lpstr>
      <vt:lpstr>Standard_NC24s_v3_Temp</vt:lpstr>
      <vt:lpstr>Standard_NC24s_v3_Total_GPU</vt:lpstr>
      <vt:lpstr>Standard_NC48ads_A100_v4_Cores</vt:lpstr>
      <vt:lpstr>Standard_NC48ads_A100_v4_Disk</vt:lpstr>
      <vt:lpstr>Standard_NC48ads_A100_v4_GPU</vt:lpstr>
      <vt:lpstr>Standard_NC48ads_A100_v4_GPUMemory</vt:lpstr>
      <vt:lpstr>Standard_NC48ads_A100_v4_Memory</vt:lpstr>
      <vt:lpstr>Standard_NC48ads_A100_v4_Temp</vt:lpstr>
      <vt:lpstr>Standard_NC4as_T4_v3_Cores</vt:lpstr>
      <vt:lpstr>Standard_NC4as_T4_v3_Disk</vt:lpstr>
      <vt:lpstr>Standard_NC4as_T4_v3_GPU</vt:lpstr>
      <vt:lpstr>Standard_NC4as_T4_v3_GPUMemory</vt:lpstr>
      <vt:lpstr>Standard_NC4as_T4_v3_Memory</vt:lpstr>
      <vt:lpstr>Standard_NC4as_T4_v3_Temp</vt:lpstr>
      <vt:lpstr>Standard_NC4as_T4_v3_Total_GPU</vt:lpstr>
      <vt:lpstr>Standard_NC64as_T4_v3_Cores</vt:lpstr>
      <vt:lpstr>Standard_NC64as_T4_v3_Disk</vt:lpstr>
      <vt:lpstr>Standard_NC64as_T4_v3_GPU</vt:lpstr>
      <vt:lpstr>Standard_NC64as_T4_v3_GPUMemory</vt:lpstr>
      <vt:lpstr>Standard_NC64as_T4_v3_Memory</vt:lpstr>
      <vt:lpstr>Standard_NC64as_T4_v3_Temp</vt:lpstr>
      <vt:lpstr>Standard_NC64as_T4_v3_Total_GPU</vt:lpstr>
      <vt:lpstr>Standard_NC6s_v3_Cores</vt:lpstr>
      <vt:lpstr>Standard_NC6s_v3_Disk</vt:lpstr>
      <vt:lpstr>Standard_NC6s_v3_GPU</vt:lpstr>
      <vt:lpstr>Standard_NC6s_v3_GPUMemory</vt:lpstr>
      <vt:lpstr>Standard_NC6s_v3_Memory</vt:lpstr>
      <vt:lpstr>Standard_NC6s_v3_Temp</vt:lpstr>
      <vt:lpstr>Standard_NC6s_v3_Total_GPU</vt:lpstr>
      <vt:lpstr>Standard_NC8as_T4_v3_Cores</vt:lpstr>
      <vt:lpstr>Standard_NC8as_T4_v3_Disk</vt:lpstr>
      <vt:lpstr>Standard_NC8as_T4_v3_GPU</vt:lpstr>
      <vt:lpstr>Standard_NC8as_T4_v3_GPUMemory</vt:lpstr>
      <vt:lpstr>Standard_NC8as_T4_v3_Memory</vt:lpstr>
      <vt:lpstr>Standard_NC8as_T4_v3_Temp</vt:lpstr>
      <vt:lpstr>Standard_NC8as_T4_v3_Total_GPU</vt:lpstr>
      <vt:lpstr>Standard_NV16as_v4_Cores</vt:lpstr>
      <vt:lpstr>Standard_NV16as_v4_Disk</vt:lpstr>
      <vt:lpstr>Standard_NV16as_v4_GPU</vt:lpstr>
      <vt:lpstr>Standard_NV16as_v4_GPUMemory</vt:lpstr>
      <vt:lpstr>Standard_NV16as_v4_Memory</vt:lpstr>
      <vt:lpstr>Standard_NV16as_v4_Temp</vt:lpstr>
      <vt:lpstr>Standard_NV16as_v4_Total_GPU</vt:lpstr>
      <vt:lpstr>Standard_NV32as_v4_Cores</vt:lpstr>
      <vt:lpstr>Standard_NV32as_v4_Disk</vt:lpstr>
      <vt:lpstr>Standard_NV32as_v4_GPU</vt:lpstr>
      <vt:lpstr>Standard_NV32as_v4_GPUMemory</vt:lpstr>
      <vt:lpstr>Standard_NV32as_v4_Memory</vt:lpstr>
      <vt:lpstr>Standard_NV32as_v4_Temp</vt:lpstr>
      <vt:lpstr>Standard_NV32as_v4_Total_GPU</vt:lpstr>
      <vt:lpstr>Standard_NV4as_v4_Cores</vt:lpstr>
      <vt:lpstr>Standard_NV4as_v4_Disk</vt:lpstr>
      <vt:lpstr>Standard_NV4as_v4_GPU</vt:lpstr>
      <vt:lpstr>Standard_NV4as_v4_GPUMemory</vt:lpstr>
      <vt:lpstr>Standard_NV4as_v4_Memory</vt:lpstr>
      <vt:lpstr>Standard_NV4as_v4_Temp</vt:lpstr>
      <vt:lpstr>Standard_NV4as_v4_Total_GPU</vt:lpstr>
      <vt:lpstr>Standard_NV8as_v4_Cores</vt:lpstr>
      <vt:lpstr>Standard_NV8as_v4_Disk</vt:lpstr>
      <vt:lpstr>Standard_NV8as_v4_GPU</vt:lpstr>
      <vt:lpstr>Standard_NV8as_v4_GPUMemory</vt:lpstr>
      <vt:lpstr>Standard_NV8as_v4_Memory</vt:lpstr>
      <vt:lpstr>Standard_NV8as_v4_Temp</vt:lpstr>
      <vt:lpstr>Standard_NV8as_v4_Total_GPU</vt:lpstr>
      <vt:lpstr>Storage_0GB</vt:lpstr>
      <vt:lpstr>Storage_100GB</vt:lpstr>
      <vt:lpstr>DefineByVMFootprint!Storage_120GB</vt:lpstr>
      <vt:lpstr>Storage_120GB</vt:lpstr>
      <vt:lpstr>DefineByVMFootprint!Storage_160GB</vt:lpstr>
      <vt:lpstr>DefineByVMFootprint!Storage_16TB</vt:lpstr>
      <vt:lpstr>DefineByVMFootprint!Storage_1TB</vt:lpstr>
      <vt:lpstr>DefineByVMFootprint!Storage_2TB</vt:lpstr>
      <vt:lpstr>DefineByVMFootprint!Storage_320GB</vt:lpstr>
      <vt:lpstr>DefineByVMFootprint!Storage_512GB</vt:lpstr>
      <vt:lpstr>DefineByVMFootprint!Storage_5TB</vt:lpstr>
      <vt:lpstr>DefineByVMFootprint!Storage_8TB</vt:lpstr>
      <vt:lpstr>Sum_Non_HAVM</vt:lpstr>
      <vt:lpstr>TempStorageMaximumRatio</vt:lpstr>
      <vt:lpstr>TempStorageMultiplier</vt:lpstr>
      <vt:lpstr>Tenant1_Disk_Inv_Total</vt:lpstr>
      <vt:lpstr>Tenant1_Disk_Total</vt:lpstr>
      <vt:lpstr>Tenant1_Memory_Inv_Total</vt:lpstr>
      <vt:lpstr>Tenant1_Memory_Total</vt:lpstr>
      <vt:lpstr>Tenant1_TempDisk_Inv_Total</vt:lpstr>
      <vt:lpstr>Tenant1_TempDisk_Total</vt:lpstr>
      <vt:lpstr>Tenant2_Disk_Inv_Total</vt:lpstr>
      <vt:lpstr>Tenant2_Disk_Total</vt:lpstr>
      <vt:lpstr>Tenant2_Memory_Inv_Total</vt:lpstr>
      <vt:lpstr>Tenant2_Memory_Total</vt:lpstr>
      <vt:lpstr>Tenant2_TempDisk_Inv_Total</vt:lpstr>
      <vt:lpstr>Tenant2_TempDisk_Total</vt:lpstr>
      <vt:lpstr>Tenant3_Disk_Inv_Total</vt:lpstr>
      <vt:lpstr>Tenant3_Disk_Total</vt:lpstr>
      <vt:lpstr>Tenant3_Memory_Inv_Total</vt:lpstr>
      <vt:lpstr>Tenant3_Memory_Total</vt:lpstr>
      <vt:lpstr>Tenant3_TempDisk_Inv_Total</vt:lpstr>
      <vt:lpstr>Tenant3_TempDisk_Total</vt:lpstr>
      <vt:lpstr>Tenant4_Disk_Inv_Total</vt:lpstr>
      <vt:lpstr>Tenant4_Disk_Total</vt:lpstr>
      <vt:lpstr>Tenant4_Memory_Inv_Total</vt:lpstr>
      <vt:lpstr>Tenant4_Memory_Total</vt:lpstr>
      <vt:lpstr>Tenant4_TempDisk_Inv_Total</vt:lpstr>
      <vt:lpstr>Tenant4_TempDisk_Total</vt:lpstr>
      <vt:lpstr>Tenant5_Disk_Inv_Total</vt:lpstr>
      <vt:lpstr>Tenant5_Disk_Total</vt:lpstr>
      <vt:lpstr>Tenant5_Memory_Inv_Total</vt:lpstr>
      <vt:lpstr>Tenant5_Memory_Total</vt:lpstr>
      <vt:lpstr>Tenant5_TempDisk_Inv_Total</vt:lpstr>
      <vt:lpstr>Tenant5_TempDisk_Total</vt:lpstr>
      <vt:lpstr>Tenant6_Disk_Inv_Total</vt:lpstr>
      <vt:lpstr>Tenant6_Disk_Total</vt:lpstr>
      <vt:lpstr>Tenant6_Memory_Inv_Total</vt:lpstr>
      <vt:lpstr>Tenant6_Memory_Total</vt:lpstr>
      <vt:lpstr>Tenant6_TempDisk_Inv_Total</vt:lpstr>
      <vt:lpstr>Tenant6_TempDisk_Total</vt:lpstr>
      <vt:lpstr>TenantVMMemorySizeMaximum</vt:lpstr>
      <vt:lpstr>Total_Allocated_GPU_VM_Disk</vt:lpstr>
      <vt:lpstr>Total_Allocated_GPU_VM_Memory</vt:lpstr>
      <vt:lpstr>Total_Allocated_GPU_VM_TempDisk</vt:lpstr>
      <vt:lpstr>Total_Allocated_GPUVM_Cores</vt:lpstr>
      <vt:lpstr>Total_Allocated_VM_Cores</vt:lpstr>
      <vt:lpstr>Total_Allocated_VM_Disk</vt:lpstr>
      <vt:lpstr>Total_Allocated_VM_GPU</vt:lpstr>
      <vt:lpstr>Total_Allocated_VM_Memory</vt:lpstr>
      <vt:lpstr>Total_Allocated_VM_TempDisk</vt:lpstr>
      <vt:lpstr>Total_Consumed_GPU</vt:lpstr>
      <vt:lpstr>Total_Consumed_Tenant_CustomWorkload_GPU</vt:lpstr>
      <vt:lpstr>Total_Consumed_Tenant_VM_Cores</vt:lpstr>
      <vt:lpstr>Total_Consumed_Tenant_VM_Disk</vt:lpstr>
      <vt:lpstr>Total_Consumed_Tenant_VM_Memory</vt:lpstr>
      <vt:lpstr>Total_Consumed_Tenant_VM_TempDisk</vt:lpstr>
      <vt:lpstr>Total_HA_VM_Count</vt:lpstr>
      <vt:lpstr>Total_Non_HA_VM_Count</vt:lpstr>
      <vt:lpstr>Total_Number_Workload_GPU</vt:lpstr>
      <vt:lpstr>Total_Quantity_VMs</vt:lpstr>
      <vt:lpstr>Total_Tenant_Consumed_GPU</vt:lpstr>
      <vt:lpstr>Total_Tenant_CPU_Cores</vt:lpstr>
      <vt:lpstr>Total_Tenant_Disk</vt:lpstr>
      <vt:lpstr>Total_Tenant_GPU</vt:lpstr>
      <vt:lpstr>Total_Tenant_HA_Workloads</vt:lpstr>
      <vt:lpstr>Total_Tenant_Memory</vt:lpstr>
      <vt:lpstr>Total_Tenant_Non_HA_workloads</vt:lpstr>
      <vt:lpstr>Total_Tenant_TempDisk</vt:lpstr>
      <vt:lpstr>Total_VM_CPU_Cores</vt:lpstr>
      <vt:lpstr>Total_VM_External_Storage</vt:lpstr>
      <vt:lpstr>Total_VM_GPU_Number</vt:lpstr>
      <vt:lpstr>Total_VM_Memory</vt:lpstr>
      <vt:lpstr>Total_VM_Temp_Storage</vt:lpstr>
      <vt:lpstr>TotalVMMaximum</vt:lpstr>
      <vt:lpstr>Unused_Tenant_CPU_Cores</vt:lpstr>
      <vt:lpstr>Unused_Tenant_Disk</vt:lpstr>
      <vt:lpstr>Unused_Tenant_Memory</vt:lpstr>
      <vt:lpstr>Unused_Tenant_TempDisk</vt:lpstr>
      <vt:lpstr>ViewSKUsRecommendationTop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2023-10-12T11:37:02Z</dcterms:created>
  <dcterms:modified xsi:type="dcterms:W3CDTF">2023-10-24T16:13:43Z</dcterms:modified>
  <cp:category/>
  <cp:contentStatus/>
</cp:coreProperties>
</file>